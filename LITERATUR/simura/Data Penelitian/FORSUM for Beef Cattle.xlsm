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480" yWindow="120" windowWidth="11355" windowHeight="6960" tabRatio="696"/>
  </bookViews>
  <sheets>
    <sheet name="Info" sheetId="15" r:id="rId1"/>
    <sheet name="Tahapan" sheetId="23" r:id="rId2"/>
    <sheet name="Bahan Pakan" sheetId="1" r:id="rId3"/>
    <sheet name="Kebutuhan Nutrient" sheetId="38" r:id="rId4"/>
    <sheet name="RANSUM" sheetId="51" r:id="rId5"/>
    <sheet name="Penggemukan" sheetId="22" r:id="rId6"/>
    <sheet name="Sapi Induk" sheetId="49" r:id="rId7"/>
    <sheet name="Sapi Pertumbuhan" sheetId="50" r:id="rId8"/>
    <sheet name="Trial and Error" sheetId="48" r:id="rId9"/>
  </sheets>
  <definedNames>
    <definedName name="solver_adj" localSheetId="3" hidden="1">'Kebutuhan Nutrient'!#REF!</definedName>
    <definedName name="solver_adj" localSheetId="5" hidden="1">Penggemukan!$E$29:$E$43</definedName>
    <definedName name="solver_adj" localSheetId="4" hidden="1">RANSUM!$E$29:$E$43</definedName>
    <definedName name="solver_adj" localSheetId="6" hidden="1">'Sapi Induk'!$E$29:$E$43</definedName>
    <definedName name="solver_adj" localSheetId="7" hidden="1">'Sapi Pertumbuhan'!$E$29:$E$43</definedName>
    <definedName name="solver_adj" localSheetId="8" hidden="1">'Trial and Error'!$G$7:$G$21</definedName>
    <definedName name="solver_cvg" localSheetId="0" hidden="1">0.0001</definedName>
    <definedName name="solver_cvg" localSheetId="3" hidden="1">0.0001</definedName>
    <definedName name="solver_cvg" localSheetId="5" hidden="1">0.0001</definedName>
    <definedName name="solver_cvg" localSheetId="4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drv" localSheetId="0" hidden="1">1</definedName>
    <definedName name="solver_drv" localSheetId="3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eng" localSheetId="0" hidden="1">1</definedName>
    <definedName name="solver_eng" localSheetId="3" hidden="1">2</definedName>
    <definedName name="solver_eng" localSheetId="5" hidden="1">2</definedName>
    <definedName name="solver_eng" localSheetId="4" hidden="1">2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st" localSheetId="0" hidden="1">1</definedName>
    <definedName name="solver_est" localSheetId="3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itr" localSheetId="0" hidden="1">2147483647</definedName>
    <definedName name="solver_itr" localSheetId="3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lhs1" localSheetId="3" hidden="1">'Kebutuhan Nutrient'!#REF!</definedName>
    <definedName name="solver_lhs1" localSheetId="5" hidden="1">Penggemukan!$E$29</definedName>
    <definedName name="solver_lhs1" localSheetId="4" hidden="1">RANSUM!$E$29</definedName>
    <definedName name="solver_lhs1" localSheetId="6" hidden="1">'Sapi Induk'!$E$29</definedName>
    <definedName name="solver_lhs1" localSheetId="7" hidden="1">'Sapi Pertumbuhan'!$E$29</definedName>
    <definedName name="solver_lhs1" localSheetId="8" hidden="1">'Trial and Error'!$G$7</definedName>
    <definedName name="solver_lhs10" localSheetId="3" hidden="1">'Kebutuhan Nutrient'!#REF!</definedName>
    <definedName name="solver_lhs10" localSheetId="5" hidden="1">Penggemukan!$E$33</definedName>
    <definedName name="solver_lhs10" localSheetId="4" hidden="1">RANSUM!$E$33</definedName>
    <definedName name="solver_lhs10" localSheetId="6" hidden="1">'Sapi Induk'!$E$33</definedName>
    <definedName name="solver_lhs10" localSheetId="7" hidden="1">'Sapi Pertumbuhan'!$E$33</definedName>
    <definedName name="solver_lhs10" localSheetId="8" hidden="1">'Trial and Error'!$G$11</definedName>
    <definedName name="solver_lhs11" localSheetId="3" hidden="1">'Kebutuhan Nutrient'!#REF!</definedName>
    <definedName name="solver_lhs11" localSheetId="5" hidden="1">Penggemukan!$E$34</definedName>
    <definedName name="solver_lhs11" localSheetId="4" hidden="1">RANSUM!$E$34</definedName>
    <definedName name="solver_lhs11" localSheetId="6" hidden="1">'Sapi Induk'!$E$34</definedName>
    <definedName name="solver_lhs11" localSheetId="7" hidden="1">'Sapi Pertumbuhan'!$E$34</definedName>
    <definedName name="solver_lhs11" localSheetId="8" hidden="1">'Trial and Error'!$G$12</definedName>
    <definedName name="solver_lhs12" localSheetId="3" hidden="1">'Kebutuhan Nutrient'!#REF!</definedName>
    <definedName name="solver_lhs12" localSheetId="5" hidden="1">Penggemukan!$E$34</definedName>
    <definedName name="solver_lhs12" localSheetId="4" hidden="1">RANSUM!$E$34</definedName>
    <definedName name="solver_lhs12" localSheetId="6" hidden="1">'Sapi Induk'!$E$34</definedName>
    <definedName name="solver_lhs12" localSheetId="7" hidden="1">'Sapi Pertumbuhan'!$E$34</definedName>
    <definedName name="solver_lhs12" localSheetId="8" hidden="1">'Trial and Error'!$G$12</definedName>
    <definedName name="solver_lhs13" localSheetId="3" hidden="1">'Kebutuhan Nutrient'!#REF!</definedName>
    <definedName name="solver_lhs13" localSheetId="5" hidden="1">Penggemukan!$E$35</definedName>
    <definedName name="solver_lhs13" localSheetId="4" hidden="1">RANSUM!$E$35</definedName>
    <definedName name="solver_lhs13" localSheetId="6" hidden="1">'Sapi Induk'!$E$35</definedName>
    <definedName name="solver_lhs13" localSheetId="7" hidden="1">'Sapi Pertumbuhan'!$E$35</definedName>
    <definedName name="solver_lhs13" localSheetId="8" hidden="1">'Trial and Error'!$G$13</definedName>
    <definedName name="solver_lhs14" localSheetId="3" hidden="1">'Kebutuhan Nutrient'!#REF!</definedName>
    <definedName name="solver_lhs14" localSheetId="5" hidden="1">Penggemukan!$E$35</definedName>
    <definedName name="solver_lhs14" localSheetId="4" hidden="1">RANSUM!$E$35</definedName>
    <definedName name="solver_lhs14" localSheetId="6" hidden="1">'Sapi Induk'!$E$35</definedName>
    <definedName name="solver_lhs14" localSheetId="7" hidden="1">'Sapi Pertumbuhan'!$E$35</definedName>
    <definedName name="solver_lhs14" localSheetId="8" hidden="1">'Trial and Error'!$G$13</definedName>
    <definedName name="solver_lhs15" localSheetId="3" hidden="1">'Kebutuhan Nutrient'!#REF!</definedName>
    <definedName name="solver_lhs15" localSheetId="5" hidden="1">Penggemukan!$E$36</definedName>
    <definedName name="solver_lhs15" localSheetId="4" hidden="1">RANSUM!$E$36</definedName>
    <definedName name="solver_lhs15" localSheetId="6" hidden="1">'Sapi Induk'!$E$36</definedName>
    <definedName name="solver_lhs15" localSheetId="7" hidden="1">'Sapi Pertumbuhan'!$E$36</definedName>
    <definedName name="solver_lhs15" localSheetId="8" hidden="1">'Trial and Error'!$G$14</definedName>
    <definedName name="solver_lhs16" localSheetId="3" hidden="1">'Kebutuhan Nutrient'!#REF!</definedName>
    <definedName name="solver_lhs16" localSheetId="5" hidden="1">Penggemukan!$E$36</definedName>
    <definedName name="solver_lhs16" localSheetId="4" hidden="1">RANSUM!$E$36</definedName>
    <definedName name="solver_lhs16" localSheetId="6" hidden="1">'Sapi Induk'!$E$36</definedName>
    <definedName name="solver_lhs16" localSheetId="7" hidden="1">'Sapi Pertumbuhan'!$E$36</definedName>
    <definedName name="solver_lhs16" localSheetId="8" hidden="1">'Trial and Error'!$G$14</definedName>
    <definedName name="solver_lhs17" localSheetId="3" hidden="1">'Kebutuhan Nutrient'!#REF!</definedName>
    <definedName name="solver_lhs17" localSheetId="5" hidden="1">Penggemukan!$E$37</definedName>
    <definedName name="solver_lhs17" localSheetId="4" hidden="1">RANSUM!$E$37</definedName>
    <definedName name="solver_lhs17" localSheetId="6" hidden="1">'Sapi Induk'!$E$37</definedName>
    <definedName name="solver_lhs17" localSheetId="7" hidden="1">'Sapi Pertumbuhan'!$E$37</definedName>
    <definedName name="solver_lhs17" localSheetId="8" hidden="1">'Trial and Error'!$G$15</definedName>
    <definedName name="solver_lhs18" localSheetId="3" hidden="1">'Kebutuhan Nutrient'!#REF!</definedName>
    <definedName name="solver_lhs18" localSheetId="5" hidden="1">Penggemukan!$E$37</definedName>
    <definedName name="solver_lhs18" localSheetId="4" hidden="1">RANSUM!$E$37</definedName>
    <definedName name="solver_lhs18" localSheetId="6" hidden="1">'Sapi Induk'!$E$37</definedName>
    <definedName name="solver_lhs18" localSheetId="7" hidden="1">'Sapi Pertumbuhan'!$E$37</definedName>
    <definedName name="solver_lhs18" localSheetId="8" hidden="1">'Trial and Error'!$G$15</definedName>
    <definedName name="solver_lhs19" localSheetId="3" hidden="1">'Kebutuhan Nutrient'!#REF!</definedName>
    <definedName name="solver_lhs19" localSheetId="5" hidden="1">Penggemukan!$E$38</definedName>
    <definedName name="solver_lhs19" localSheetId="4" hidden="1">RANSUM!$E$38</definedName>
    <definedName name="solver_lhs19" localSheetId="6" hidden="1">'Sapi Induk'!$E$38</definedName>
    <definedName name="solver_lhs19" localSheetId="7" hidden="1">'Sapi Pertumbuhan'!$E$38</definedName>
    <definedName name="solver_lhs19" localSheetId="8" hidden="1">'Trial and Error'!$G$16</definedName>
    <definedName name="solver_lhs2" localSheetId="3" hidden="1">'Kebutuhan Nutrient'!#REF!</definedName>
    <definedName name="solver_lhs2" localSheetId="5" hidden="1">Penggemukan!$E$29</definedName>
    <definedName name="solver_lhs2" localSheetId="4" hidden="1">RANSUM!$E$29</definedName>
    <definedName name="solver_lhs2" localSheetId="6" hidden="1">'Sapi Induk'!$E$29</definedName>
    <definedName name="solver_lhs2" localSheetId="7" hidden="1">'Sapi Pertumbuhan'!$E$29</definedName>
    <definedName name="solver_lhs2" localSheetId="8" hidden="1">'Trial and Error'!$G$7</definedName>
    <definedName name="solver_lhs20" localSheetId="3" hidden="1">'Kebutuhan Nutrient'!#REF!</definedName>
    <definedName name="solver_lhs20" localSheetId="5" hidden="1">Penggemukan!$E$38</definedName>
    <definedName name="solver_lhs20" localSheetId="4" hidden="1">RANSUM!$E$38</definedName>
    <definedName name="solver_lhs20" localSheetId="6" hidden="1">'Sapi Induk'!$E$38</definedName>
    <definedName name="solver_lhs20" localSheetId="7" hidden="1">'Sapi Pertumbuhan'!$E$38</definedName>
    <definedName name="solver_lhs20" localSheetId="8" hidden="1">'Trial and Error'!$G$16</definedName>
    <definedName name="solver_lhs21" localSheetId="3" hidden="1">'Kebutuhan Nutrient'!#REF!</definedName>
    <definedName name="solver_lhs21" localSheetId="5" hidden="1">Penggemukan!$E$39</definedName>
    <definedName name="solver_lhs21" localSheetId="4" hidden="1">RANSUM!$E$39</definedName>
    <definedName name="solver_lhs21" localSheetId="6" hidden="1">'Sapi Induk'!$E$39</definedName>
    <definedName name="solver_lhs21" localSheetId="7" hidden="1">'Sapi Pertumbuhan'!$E$39</definedName>
    <definedName name="solver_lhs21" localSheetId="8" hidden="1">'Trial and Error'!$G$17</definedName>
    <definedName name="solver_lhs22" localSheetId="3" hidden="1">'Kebutuhan Nutrient'!#REF!</definedName>
    <definedName name="solver_lhs22" localSheetId="5" hidden="1">Penggemukan!$E$39</definedName>
    <definedName name="solver_lhs22" localSheetId="4" hidden="1">RANSUM!$E$39</definedName>
    <definedName name="solver_lhs22" localSheetId="6" hidden="1">'Sapi Induk'!$E$39</definedName>
    <definedName name="solver_lhs22" localSheetId="7" hidden="1">'Sapi Pertumbuhan'!$E$39</definedName>
    <definedName name="solver_lhs22" localSheetId="8" hidden="1">'Trial and Error'!$G$17</definedName>
    <definedName name="solver_lhs23" localSheetId="3" hidden="1">'Kebutuhan Nutrient'!#REF!</definedName>
    <definedName name="solver_lhs23" localSheetId="5" hidden="1">Penggemukan!$E$40</definedName>
    <definedName name="solver_lhs23" localSheetId="4" hidden="1">RANSUM!$E$40</definedName>
    <definedName name="solver_lhs23" localSheetId="6" hidden="1">'Sapi Induk'!$E$40</definedName>
    <definedName name="solver_lhs23" localSheetId="7" hidden="1">'Sapi Pertumbuhan'!$E$40</definedName>
    <definedName name="solver_lhs23" localSheetId="8" hidden="1">'Trial and Error'!$G$18</definedName>
    <definedName name="solver_lhs24" localSheetId="3" hidden="1">'Kebutuhan Nutrient'!#REF!</definedName>
    <definedName name="solver_lhs24" localSheetId="5" hidden="1">Penggemukan!$E$40</definedName>
    <definedName name="solver_lhs24" localSheetId="4" hidden="1">RANSUM!$E$40</definedName>
    <definedName name="solver_lhs24" localSheetId="6" hidden="1">'Sapi Induk'!$E$40</definedName>
    <definedName name="solver_lhs24" localSheetId="7" hidden="1">'Sapi Pertumbuhan'!$E$40</definedName>
    <definedName name="solver_lhs24" localSheetId="8" hidden="1">'Trial and Error'!$G$18</definedName>
    <definedName name="solver_lhs25" localSheetId="3" hidden="1">'Kebutuhan Nutrient'!#REF!</definedName>
    <definedName name="solver_lhs25" localSheetId="5" hidden="1">Penggemukan!$E$41</definedName>
    <definedName name="solver_lhs25" localSheetId="4" hidden="1">RANSUM!$E$41</definedName>
    <definedName name="solver_lhs25" localSheetId="6" hidden="1">'Sapi Induk'!$E$41</definedName>
    <definedName name="solver_lhs25" localSheetId="7" hidden="1">'Sapi Pertumbuhan'!$E$41</definedName>
    <definedName name="solver_lhs25" localSheetId="8" hidden="1">'Trial and Error'!$G$19</definedName>
    <definedName name="solver_lhs26" localSheetId="3" hidden="1">'Kebutuhan Nutrient'!#REF!</definedName>
    <definedName name="solver_lhs26" localSheetId="5" hidden="1">Penggemukan!$E$41</definedName>
    <definedName name="solver_lhs26" localSheetId="4" hidden="1">RANSUM!$E$41</definedName>
    <definedName name="solver_lhs26" localSheetId="6" hidden="1">'Sapi Induk'!$E$41</definedName>
    <definedName name="solver_lhs26" localSheetId="7" hidden="1">'Sapi Pertumbuhan'!$E$41</definedName>
    <definedName name="solver_lhs26" localSheetId="8" hidden="1">'Trial and Error'!$G$19</definedName>
    <definedName name="solver_lhs27" localSheetId="3" hidden="1">'Kebutuhan Nutrient'!#REF!</definedName>
    <definedName name="solver_lhs27" localSheetId="5" hidden="1">Penggemukan!$E$42</definedName>
    <definedName name="solver_lhs27" localSheetId="4" hidden="1">RANSUM!$E$42</definedName>
    <definedName name="solver_lhs27" localSheetId="6" hidden="1">'Sapi Induk'!$E$42</definedName>
    <definedName name="solver_lhs27" localSheetId="7" hidden="1">'Sapi Pertumbuhan'!$E$42</definedName>
    <definedName name="solver_lhs27" localSheetId="8" hidden="1">'Trial and Error'!$G$20</definedName>
    <definedName name="solver_lhs28" localSheetId="3" hidden="1">'Kebutuhan Nutrient'!#REF!</definedName>
    <definedName name="solver_lhs28" localSheetId="5" hidden="1">Penggemukan!$E$42</definedName>
    <definedName name="solver_lhs28" localSheetId="4" hidden="1">RANSUM!$E$42</definedName>
    <definedName name="solver_lhs28" localSheetId="6" hidden="1">'Sapi Induk'!$E$42</definedName>
    <definedName name="solver_lhs28" localSheetId="7" hidden="1">'Sapi Pertumbuhan'!$E$42</definedName>
    <definedName name="solver_lhs28" localSheetId="8" hidden="1">'Trial and Error'!$G$20</definedName>
    <definedName name="solver_lhs29" localSheetId="3" hidden="1">'Kebutuhan Nutrient'!#REF!</definedName>
    <definedName name="solver_lhs29" localSheetId="5" hidden="1">Penggemukan!$E$43</definedName>
    <definedName name="solver_lhs29" localSheetId="4" hidden="1">RANSUM!$E$43</definedName>
    <definedName name="solver_lhs29" localSheetId="6" hidden="1">'Sapi Induk'!$E$43</definedName>
    <definedName name="solver_lhs29" localSheetId="7" hidden="1">'Sapi Pertumbuhan'!$E$43</definedName>
    <definedName name="solver_lhs29" localSheetId="8" hidden="1">'Trial and Error'!$G$21</definedName>
    <definedName name="solver_lhs3" localSheetId="3" hidden="1">'Kebutuhan Nutrient'!#REF!</definedName>
    <definedName name="solver_lhs3" localSheetId="5" hidden="1">Penggemukan!$E$30</definedName>
    <definedName name="solver_lhs3" localSheetId="4" hidden="1">RANSUM!$E$30</definedName>
    <definedName name="solver_lhs3" localSheetId="6" hidden="1">'Sapi Induk'!$E$30</definedName>
    <definedName name="solver_lhs3" localSheetId="7" hidden="1">'Sapi Pertumbuhan'!$E$30</definedName>
    <definedName name="solver_lhs3" localSheetId="8" hidden="1">'Trial and Error'!$G$8</definedName>
    <definedName name="solver_lhs30" localSheetId="3" hidden="1">'Kebutuhan Nutrient'!#REF!</definedName>
    <definedName name="solver_lhs30" localSheetId="5" hidden="1">Penggemukan!$E$43</definedName>
    <definedName name="solver_lhs30" localSheetId="4" hidden="1">RANSUM!$E$43</definedName>
    <definedName name="solver_lhs30" localSheetId="6" hidden="1">'Sapi Induk'!$E$43</definedName>
    <definedName name="solver_lhs30" localSheetId="7" hidden="1">'Sapi Pertumbuhan'!$E$43</definedName>
    <definedName name="solver_lhs30" localSheetId="8" hidden="1">'Trial and Error'!$G$21</definedName>
    <definedName name="solver_lhs31" localSheetId="3" hidden="1">'Kebutuhan Nutrient'!#REF!</definedName>
    <definedName name="solver_lhs31" localSheetId="5" hidden="1">Penggemukan!$E$45</definedName>
    <definedName name="solver_lhs31" localSheetId="4" hidden="1">RANSUM!$E$45</definedName>
    <definedName name="solver_lhs31" localSheetId="6" hidden="1">'Sapi Induk'!$E$45</definedName>
    <definedName name="solver_lhs31" localSheetId="7" hidden="1">'Sapi Pertumbuhan'!$E$45</definedName>
    <definedName name="solver_lhs31" localSheetId="8" hidden="1">'Trial and Error'!$E$45</definedName>
    <definedName name="solver_lhs32" localSheetId="3" hidden="1">'Kebutuhan Nutrient'!#REF!</definedName>
    <definedName name="solver_lhs32" localSheetId="5" hidden="1">Penggemukan!$G$45</definedName>
    <definedName name="solver_lhs32" localSheetId="4" hidden="1">RANSUM!$G$45</definedName>
    <definedName name="solver_lhs32" localSheetId="6" hidden="1">'Sapi Induk'!$G$45</definedName>
    <definedName name="solver_lhs32" localSheetId="7" hidden="1">'Sapi Pertumbuhan'!$G$45</definedName>
    <definedName name="solver_lhs32" localSheetId="8" hidden="1">'Trial and Error'!$G$45</definedName>
    <definedName name="solver_lhs33" localSheetId="3" hidden="1">'Kebutuhan Nutrient'!#REF!</definedName>
    <definedName name="solver_lhs33" localSheetId="5" hidden="1">Penggemukan!$I$45</definedName>
    <definedName name="solver_lhs33" localSheetId="4" hidden="1">RANSUM!$I$45</definedName>
    <definedName name="solver_lhs33" localSheetId="6" hidden="1">'Sapi Induk'!$I$45</definedName>
    <definedName name="solver_lhs33" localSheetId="7" hidden="1">'Sapi Pertumbuhan'!$I$45</definedName>
    <definedName name="solver_lhs33" localSheetId="8" hidden="1">'Trial and Error'!$I$45</definedName>
    <definedName name="solver_lhs34" localSheetId="3" hidden="1">'Kebutuhan Nutrient'!#REF!</definedName>
    <definedName name="solver_lhs34" localSheetId="5" hidden="1">Penggemukan!$I$45</definedName>
    <definedName name="solver_lhs34" localSheetId="4" hidden="1">RANSUM!$I$45</definedName>
    <definedName name="solver_lhs34" localSheetId="6" hidden="1">'Sapi Induk'!$I$45</definedName>
    <definedName name="solver_lhs34" localSheetId="7" hidden="1">'Sapi Pertumbuhan'!$I$45</definedName>
    <definedName name="solver_lhs34" localSheetId="8" hidden="1">'Trial and Error'!$I$45</definedName>
    <definedName name="solver_lhs35" localSheetId="3" hidden="1">'Kebutuhan Nutrient'!#REF!</definedName>
    <definedName name="solver_lhs35" localSheetId="5" hidden="1">Penggemukan!$K$45</definedName>
    <definedName name="solver_lhs35" localSheetId="4" hidden="1">RANSUM!$K$45</definedName>
    <definedName name="solver_lhs35" localSheetId="6" hidden="1">'Sapi Induk'!$K$45</definedName>
    <definedName name="solver_lhs35" localSheetId="7" hidden="1">'Sapi Pertumbuhan'!$K$45</definedName>
    <definedName name="solver_lhs35" localSheetId="8" hidden="1">'Trial and Error'!$K$45</definedName>
    <definedName name="solver_lhs36" localSheetId="3" hidden="1">'Kebutuhan Nutrient'!#REF!</definedName>
    <definedName name="solver_lhs36" localSheetId="5" hidden="1">Penggemukan!$M$45</definedName>
    <definedName name="solver_lhs36" localSheetId="4" hidden="1">RANSUM!$M$45</definedName>
    <definedName name="solver_lhs36" localSheetId="6" hidden="1">'Sapi Induk'!$M$45</definedName>
    <definedName name="solver_lhs36" localSheetId="7" hidden="1">'Sapi Pertumbuhan'!$M$45</definedName>
    <definedName name="solver_lhs36" localSheetId="8" hidden="1">'Trial and Error'!$M$45</definedName>
    <definedName name="solver_lhs37" localSheetId="3" hidden="1">'Kebutuhan Nutrient'!#REF!</definedName>
    <definedName name="solver_lhs37" localSheetId="5" hidden="1">Penggemukan!$M$45</definedName>
    <definedName name="solver_lhs37" localSheetId="4" hidden="1">RANSUM!$M$45</definedName>
    <definedName name="solver_lhs37" localSheetId="6" hidden="1">'Sapi Induk'!$M$45</definedName>
    <definedName name="solver_lhs37" localSheetId="7" hidden="1">'Sapi Pertumbuhan'!$M$45</definedName>
    <definedName name="solver_lhs37" localSheetId="8" hidden="1">'Trial and Error'!$M$45</definedName>
    <definedName name="solver_lhs38" localSheetId="3" hidden="1">'Kebutuhan Nutrient'!#REF!</definedName>
    <definedName name="solver_lhs38" localSheetId="5" hidden="1">Penggemukan!$N$45</definedName>
    <definedName name="solver_lhs38" localSheetId="4" hidden="1">RANSUM!$N$45</definedName>
    <definedName name="solver_lhs38" localSheetId="6" hidden="1">'Sapi Induk'!$N$45</definedName>
    <definedName name="solver_lhs38" localSheetId="7" hidden="1">'Sapi Pertumbuhan'!$N$45</definedName>
    <definedName name="solver_lhs38" localSheetId="8" hidden="1">'Trial and Error'!$N$45</definedName>
    <definedName name="solver_lhs39" localSheetId="3" hidden="1">'Kebutuhan Nutrient'!#REF!</definedName>
    <definedName name="solver_lhs39" localSheetId="5" hidden="1">Penggemukan!$N$45</definedName>
    <definedName name="solver_lhs39" localSheetId="4" hidden="1">RANSUM!$N$45</definedName>
    <definedName name="solver_lhs39" localSheetId="6" hidden="1">'Sapi Induk'!$N$45</definedName>
    <definedName name="solver_lhs39" localSheetId="7" hidden="1">'Sapi Pertumbuhan'!$N$45</definedName>
    <definedName name="solver_lhs39" localSheetId="8" hidden="1">'Trial and Error'!$N$45</definedName>
    <definedName name="solver_lhs4" localSheetId="3" hidden="1">'Kebutuhan Nutrient'!#REF!</definedName>
    <definedName name="solver_lhs4" localSheetId="5" hidden="1">Penggemukan!$E$30</definedName>
    <definedName name="solver_lhs4" localSheetId="4" hidden="1">RANSUM!$E$30</definedName>
    <definedName name="solver_lhs4" localSheetId="6" hidden="1">'Sapi Induk'!$E$30</definedName>
    <definedName name="solver_lhs4" localSheetId="7" hidden="1">'Sapi Pertumbuhan'!$E$30</definedName>
    <definedName name="solver_lhs4" localSheetId="8" hidden="1">'Trial and Error'!$G$8</definedName>
    <definedName name="solver_lhs40" localSheetId="3" hidden="1">'Kebutuhan Nutrient'!#REF!</definedName>
    <definedName name="solver_lhs40" localSheetId="5" hidden="1">Penggemukan!$R$45</definedName>
    <definedName name="solver_lhs40" localSheetId="4" hidden="1">RANSUM!$R$45</definedName>
    <definedName name="solver_lhs40" localSheetId="6" hidden="1">'Sapi Induk'!$R$45</definedName>
    <definedName name="solver_lhs40" localSheetId="7" hidden="1">'Sapi Pertumbuhan'!$O$45</definedName>
    <definedName name="solver_lhs40" localSheetId="8" hidden="1">'Trial and Error'!$P$45</definedName>
    <definedName name="solver_lhs41" localSheetId="3" hidden="1">'Kebutuhan Nutrient'!#REF!</definedName>
    <definedName name="solver_lhs41" localSheetId="5" hidden="1">Penggemukan!$R$45</definedName>
    <definedName name="solver_lhs41" localSheetId="4" hidden="1">RANSUM!$R$45</definedName>
    <definedName name="solver_lhs41" localSheetId="6" hidden="1">'Sapi Induk'!$R$45</definedName>
    <definedName name="solver_lhs41" localSheetId="7" hidden="1">'Sapi Pertumbuhan'!$O$45</definedName>
    <definedName name="solver_lhs41" localSheetId="8" hidden="1">'Trial and Error'!$Q$45</definedName>
    <definedName name="solver_lhs42" localSheetId="3" hidden="1">'Kebutuhan Nutrient'!#REF!</definedName>
    <definedName name="solver_lhs42" localSheetId="5" hidden="1">Penggemukan!$R$45</definedName>
    <definedName name="solver_lhs42" localSheetId="4" hidden="1">RANSUM!$R$45</definedName>
    <definedName name="solver_lhs42" localSheetId="6" hidden="1">'Sapi Induk'!$R$45</definedName>
    <definedName name="solver_lhs42" localSheetId="7" hidden="1">'Sapi Pertumbuhan'!$R$45</definedName>
    <definedName name="solver_lhs42" localSheetId="8" hidden="1">'Trial and Error'!$Q$45</definedName>
    <definedName name="solver_lhs43" localSheetId="3" hidden="1">'Kebutuhan Nutrient'!#REF!</definedName>
    <definedName name="solver_lhs43" localSheetId="5" hidden="1">Penggemukan!$R$45</definedName>
    <definedName name="solver_lhs43" localSheetId="4" hidden="1">RANSUM!$R$45</definedName>
    <definedName name="solver_lhs43" localSheetId="6" hidden="1">'Sapi Induk'!$R$45</definedName>
    <definedName name="solver_lhs43" localSheetId="7" hidden="1">'Sapi Pertumbuhan'!$R$45</definedName>
    <definedName name="solver_lhs43" localSheetId="8" hidden="1">'Trial and Error'!$R$45</definedName>
    <definedName name="solver_lhs44" localSheetId="3" hidden="1">'Kebutuhan Nutrient'!#REF!</definedName>
    <definedName name="solver_lhs44" localSheetId="5" hidden="1">Penggemukan!$R$45</definedName>
    <definedName name="solver_lhs44" localSheetId="4" hidden="1">RANSUM!$R$45</definedName>
    <definedName name="solver_lhs44" localSheetId="6" hidden="1">'Sapi Induk'!$R$45</definedName>
    <definedName name="solver_lhs44" localSheetId="7" hidden="1">'Sapi Pertumbuhan'!$R$45</definedName>
    <definedName name="solver_lhs44" localSheetId="8" hidden="1">'Trial and Error'!$R$45</definedName>
    <definedName name="solver_lhs45" localSheetId="3" hidden="1">'Kebutuhan Nutrient'!#REF!</definedName>
    <definedName name="solver_lhs45" localSheetId="5" hidden="1">Penggemukan!$E$39</definedName>
    <definedName name="solver_lhs45" localSheetId="4" hidden="1">RANSUM!$E$39</definedName>
    <definedName name="solver_lhs45" localSheetId="6" hidden="1">'Sapi Induk'!$E$39</definedName>
    <definedName name="solver_lhs45" localSheetId="7" hidden="1">'Sapi Pertumbuhan'!$E$39</definedName>
    <definedName name="solver_lhs45" localSheetId="8" hidden="1">'Trial and Error'!$G$17</definedName>
    <definedName name="solver_lhs46" localSheetId="3" hidden="1">'Kebutuhan Nutrient'!#REF!</definedName>
    <definedName name="solver_lhs46" localSheetId="5" hidden="1">Penggemukan!$E$39</definedName>
    <definedName name="solver_lhs46" localSheetId="4" hidden="1">RANSUM!$E$39</definedName>
    <definedName name="solver_lhs46" localSheetId="6" hidden="1">'Sapi Induk'!$E$39</definedName>
    <definedName name="solver_lhs46" localSheetId="7" hidden="1">'Sapi Pertumbuhan'!$E$39</definedName>
    <definedName name="solver_lhs46" localSheetId="8" hidden="1">'Trial and Error'!$G$17</definedName>
    <definedName name="solver_lhs47" localSheetId="3" hidden="1">'Kebutuhan Nutrient'!#REF!</definedName>
    <definedName name="solver_lhs47" localSheetId="5" hidden="1">Penggemukan!$T$29</definedName>
    <definedName name="solver_lhs47" localSheetId="4" hidden="1">RANSUM!$T$29</definedName>
    <definedName name="solver_lhs47" localSheetId="6" hidden="1">'Sapi Induk'!$T$29</definedName>
    <definedName name="solver_lhs47" localSheetId="7" hidden="1">'Sapi Pertumbuhan'!$T$29</definedName>
    <definedName name="solver_lhs47" localSheetId="8" hidden="1">'Trial and Error'!$T$29</definedName>
    <definedName name="solver_lhs5" localSheetId="3" hidden="1">'Kebutuhan Nutrient'!#REF!</definedName>
    <definedName name="solver_lhs5" localSheetId="5" hidden="1">Penggemukan!$E$31</definedName>
    <definedName name="solver_lhs5" localSheetId="4" hidden="1">RANSUM!$E$31</definedName>
    <definedName name="solver_lhs5" localSheetId="6" hidden="1">'Sapi Induk'!$E$31</definedName>
    <definedName name="solver_lhs5" localSheetId="7" hidden="1">'Sapi Pertumbuhan'!$E$31</definedName>
    <definedName name="solver_lhs5" localSheetId="8" hidden="1">'Trial and Error'!$G$9</definedName>
    <definedName name="solver_lhs6" localSheetId="3" hidden="1">'Kebutuhan Nutrient'!#REF!</definedName>
    <definedName name="solver_lhs6" localSheetId="5" hidden="1">Penggemukan!$E$31</definedName>
    <definedName name="solver_lhs6" localSheetId="4" hidden="1">RANSUM!$E$31</definedName>
    <definedName name="solver_lhs6" localSheetId="6" hidden="1">'Sapi Induk'!$E$31</definedName>
    <definedName name="solver_lhs6" localSheetId="7" hidden="1">'Sapi Pertumbuhan'!$E$31</definedName>
    <definedName name="solver_lhs6" localSheetId="8" hidden="1">'Trial and Error'!$G$9</definedName>
    <definedName name="solver_lhs7" localSheetId="3" hidden="1">'Kebutuhan Nutrient'!#REF!</definedName>
    <definedName name="solver_lhs7" localSheetId="5" hidden="1">Penggemukan!$E$32</definedName>
    <definedName name="solver_lhs7" localSheetId="4" hidden="1">RANSUM!$E$32</definedName>
    <definedName name="solver_lhs7" localSheetId="6" hidden="1">'Sapi Induk'!$E$32</definedName>
    <definedName name="solver_lhs7" localSheetId="7" hidden="1">'Sapi Pertumbuhan'!$E$32</definedName>
    <definedName name="solver_lhs7" localSheetId="8" hidden="1">'Trial and Error'!$G$10</definedName>
    <definedName name="solver_lhs8" localSheetId="3" hidden="1">'Kebutuhan Nutrient'!#REF!</definedName>
    <definedName name="solver_lhs8" localSheetId="5" hidden="1">Penggemukan!$E$32</definedName>
    <definedName name="solver_lhs8" localSheetId="4" hidden="1">RANSUM!$E$32</definedName>
    <definedName name="solver_lhs8" localSheetId="6" hidden="1">'Sapi Induk'!$E$32</definedName>
    <definedName name="solver_lhs8" localSheetId="7" hidden="1">'Sapi Pertumbuhan'!$E$32</definedName>
    <definedName name="solver_lhs8" localSheetId="8" hidden="1">'Trial and Error'!$G$10</definedName>
    <definedName name="solver_lhs9" localSheetId="3" hidden="1">'Kebutuhan Nutrient'!#REF!</definedName>
    <definedName name="solver_lhs9" localSheetId="5" hidden="1">Penggemukan!$E$33</definedName>
    <definedName name="solver_lhs9" localSheetId="4" hidden="1">RANSUM!$E$33</definedName>
    <definedName name="solver_lhs9" localSheetId="6" hidden="1">'Sapi Induk'!$E$33</definedName>
    <definedName name="solver_lhs9" localSheetId="7" hidden="1">'Sapi Pertumbuhan'!$E$33</definedName>
    <definedName name="solver_lhs9" localSheetId="8" hidden="1">'Trial and Error'!$G$11</definedName>
    <definedName name="solver_lin" localSheetId="3" hidden="1">1</definedName>
    <definedName name="solver_lin" localSheetId="5" hidden="1">1</definedName>
    <definedName name="solver_lin" localSheetId="4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mip" localSheetId="0" hidden="1">2147483647</definedName>
    <definedName name="solver_mip" localSheetId="3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ni" localSheetId="0" hidden="1">30</definedName>
    <definedName name="solver_mni" localSheetId="3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rt" localSheetId="0" hidden="1">0.075</definedName>
    <definedName name="solver_mrt" localSheetId="3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sl" localSheetId="0" hidden="1">2</definedName>
    <definedName name="solver_msl" localSheetId="3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neg" localSheetId="0" hidden="1">1</definedName>
    <definedName name="solver_neg" localSheetId="3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od" localSheetId="0" hidden="1">2147483647</definedName>
    <definedName name="solver_nod" localSheetId="3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um" localSheetId="0" hidden="1">0</definedName>
    <definedName name="solver_num" localSheetId="3" hidden="1">44</definedName>
    <definedName name="solver_num" localSheetId="5" hidden="1">39</definedName>
    <definedName name="solver_num" localSheetId="4" hidden="1">39</definedName>
    <definedName name="solver_num" localSheetId="6" hidden="1">39</definedName>
    <definedName name="solver_num" localSheetId="7" hidden="1">40</definedName>
    <definedName name="solver_num" localSheetId="8" hidden="1">44</definedName>
    <definedName name="solver_nwt" localSheetId="0" hidden="1">1</definedName>
    <definedName name="solver_nwt" localSheetId="3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opt" localSheetId="0" hidden="1">Info!#REF!</definedName>
    <definedName name="solver_opt" localSheetId="3" hidden="1">'Kebutuhan Nutrient'!#REF!</definedName>
    <definedName name="solver_opt" localSheetId="5" hidden="1">Penggemukan!$E$45</definedName>
    <definedName name="solver_opt" localSheetId="4" hidden="1">RANSUM!$E$45</definedName>
    <definedName name="solver_opt" localSheetId="6" hidden="1">'Sapi Induk'!$E$45</definedName>
    <definedName name="solver_opt" localSheetId="7" hidden="1">'Sapi Pertumbuhan'!$E$45</definedName>
    <definedName name="solver_opt" localSheetId="8" hidden="1">'Trial and Error'!$E$45</definedName>
    <definedName name="solver_pre" localSheetId="0" hidden="1">0.000001</definedName>
    <definedName name="solver_pre" localSheetId="3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rbv" localSheetId="0" hidden="1">1</definedName>
    <definedName name="solver_rbv" localSheetId="3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el1" localSheetId="3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0" localSheetId="3" hidden="1">3</definedName>
    <definedName name="solver_rel10" localSheetId="5" hidden="1">3</definedName>
    <definedName name="solver_rel10" localSheetId="4" hidden="1">3</definedName>
    <definedName name="solver_rel10" localSheetId="6" hidden="1">3</definedName>
    <definedName name="solver_rel10" localSheetId="7" hidden="1">3</definedName>
    <definedName name="solver_rel10" localSheetId="8" hidden="1">3</definedName>
    <definedName name="solver_rel11" localSheetId="3" hidden="1">1</definedName>
    <definedName name="solver_rel11" localSheetId="5" hidden="1">1</definedName>
    <definedName name="solver_rel11" localSheetId="4" hidden="1">1</definedName>
    <definedName name="solver_rel11" localSheetId="6" hidden="1">1</definedName>
    <definedName name="solver_rel11" localSheetId="7" hidden="1">1</definedName>
    <definedName name="solver_rel11" localSheetId="8" hidden="1">1</definedName>
    <definedName name="solver_rel12" localSheetId="3" hidden="1">3</definedName>
    <definedName name="solver_rel12" localSheetId="5" hidden="1">3</definedName>
    <definedName name="solver_rel12" localSheetId="4" hidden="1">3</definedName>
    <definedName name="solver_rel12" localSheetId="6" hidden="1">3</definedName>
    <definedName name="solver_rel12" localSheetId="7" hidden="1">3</definedName>
    <definedName name="solver_rel12" localSheetId="8" hidden="1">3</definedName>
    <definedName name="solver_rel13" localSheetId="3" hidden="1">1</definedName>
    <definedName name="solver_rel13" localSheetId="5" hidden="1">1</definedName>
    <definedName name="solver_rel13" localSheetId="4" hidden="1">1</definedName>
    <definedName name="solver_rel13" localSheetId="6" hidden="1">1</definedName>
    <definedName name="solver_rel13" localSheetId="7" hidden="1">1</definedName>
    <definedName name="solver_rel13" localSheetId="8" hidden="1">1</definedName>
    <definedName name="solver_rel14" localSheetId="3" hidden="1">3</definedName>
    <definedName name="solver_rel14" localSheetId="5" hidden="1">3</definedName>
    <definedName name="solver_rel14" localSheetId="4" hidden="1">3</definedName>
    <definedName name="solver_rel14" localSheetId="6" hidden="1">3</definedName>
    <definedName name="solver_rel14" localSheetId="7" hidden="1">3</definedName>
    <definedName name="solver_rel14" localSheetId="8" hidden="1">3</definedName>
    <definedName name="solver_rel15" localSheetId="3" hidden="1">1</definedName>
    <definedName name="solver_rel15" localSheetId="5" hidden="1">1</definedName>
    <definedName name="solver_rel15" localSheetId="4" hidden="1">1</definedName>
    <definedName name="solver_rel15" localSheetId="6" hidden="1">1</definedName>
    <definedName name="solver_rel15" localSheetId="7" hidden="1">1</definedName>
    <definedName name="solver_rel15" localSheetId="8" hidden="1">1</definedName>
    <definedName name="solver_rel16" localSheetId="3" hidden="1">3</definedName>
    <definedName name="solver_rel16" localSheetId="5" hidden="1">3</definedName>
    <definedName name="solver_rel16" localSheetId="4" hidden="1">3</definedName>
    <definedName name="solver_rel16" localSheetId="6" hidden="1">3</definedName>
    <definedName name="solver_rel16" localSheetId="7" hidden="1">3</definedName>
    <definedName name="solver_rel16" localSheetId="8" hidden="1">3</definedName>
    <definedName name="solver_rel17" localSheetId="3" hidden="1">1</definedName>
    <definedName name="solver_rel17" localSheetId="5" hidden="1">1</definedName>
    <definedName name="solver_rel17" localSheetId="4" hidden="1">1</definedName>
    <definedName name="solver_rel17" localSheetId="6" hidden="1">1</definedName>
    <definedName name="solver_rel17" localSheetId="7" hidden="1">1</definedName>
    <definedName name="solver_rel17" localSheetId="8" hidden="1">1</definedName>
    <definedName name="solver_rel18" localSheetId="3" hidden="1">3</definedName>
    <definedName name="solver_rel18" localSheetId="5" hidden="1">3</definedName>
    <definedName name="solver_rel18" localSheetId="4" hidden="1">3</definedName>
    <definedName name="solver_rel18" localSheetId="6" hidden="1">3</definedName>
    <definedName name="solver_rel18" localSheetId="7" hidden="1">3</definedName>
    <definedName name="solver_rel18" localSheetId="8" hidden="1">3</definedName>
    <definedName name="solver_rel19" localSheetId="3" hidden="1">1</definedName>
    <definedName name="solver_rel19" localSheetId="5" hidden="1">1</definedName>
    <definedName name="solver_rel19" localSheetId="4" hidden="1">1</definedName>
    <definedName name="solver_rel19" localSheetId="6" hidden="1">1</definedName>
    <definedName name="solver_rel19" localSheetId="7" hidden="1">1</definedName>
    <definedName name="solver_rel19" localSheetId="8" hidden="1">1</definedName>
    <definedName name="solver_rel2" localSheetId="3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2" localSheetId="7" hidden="1">3</definedName>
    <definedName name="solver_rel2" localSheetId="8" hidden="1">3</definedName>
    <definedName name="solver_rel20" localSheetId="3" hidden="1">3</definedName>
    <definedName name="solver_rel20" localSheetId="5" hidden="1">3</definedName>
    <definedName name="solver_rel20" localSheetId="4" hidden="1">3</definedName>
    <definedName name="solver_rel20" localSheetId="6" hidden="1">3</definedName>
    <definedName name="solver_rel20" localSheetId="7" hidden="1">3</definedName>
    <definedName name="solver_rel20" localSheetId="8" hidden="1">3</definedName>
    <definedName name="solver_rel21" localSheetId="3" hidden="1">1</definedName>
    <definedName name="solver_rel21" localSheetId="5" hidden="1">1</definedName>
    <definedName name="solver_rel21" localSheetId="4" hidden="1">1</definedName>
    <definedName name="solver_rel21" localSheetId="6" hidden="1">1</definedName>
    <definedName name="solver_rel21" localSheetId="7" hidden="1">1</definedName>
    <definedName name="solver_rel21" localSheetId="8" hidden="1">1</definedName>
    <definedName name="solver_rel22" localSheetId="3" hidden="1">3</definedName>
    <definedName name="solver_rel22" localSheetId="5" hidden="1">3</definedName>
    <definedName name="solver_rel22" localSheetId="4" hidden="1">3</definedName>
    <definedName name="solver_rel22" localSheetId="6" hidden="1">3</definedName>
    <definedName name="solver_rel22" localSheetId="7" hidden="1">3</definedName>
    <definedName name="solver_rel22" localSheetId="8" hidden="1">3</definedName>
    <definedName name="solver_rel23" localSheetId="3" hidden="1">1</definedName>
    <definedName name="solver_rel23" localSheetId="5" hidden="1">1</definedName>
    <definedName name="solver_rel23" localSheetId="4" hidden="1">1</definedName>
    <definedName name="solver_rel23" localSheetId="6" hidden="1">1</definedName>
    <definedName name="solver_rel23" localSheetId="7" hidden="1">1</definedName>
    <definedName name="solver_rel23" localSheetId="8" hidden="1">1</definedName>
    <definedName name="solver_rel24" localSheetId="3" hidden="1">3</definedName>
    <definedName name="solver_rel24" localSheetId="5" hidden="1">3</definedName>
    <definedName name="solver_rel24" localSheetId="4" hidden="1">3</definedName>
    <definedName name="solver_rel24" localSheetId="6" hidden="1">3</definedName>
    <definedName name="solver_rel24" localSheetId="7" hidden="1">3</definedName>
    <definedName name="solver_rel24" localSheetId="8" hidden="1">3</definedName>
    <definedName name="solver_rel25" localSheetId="3" hidden="1">1</definedName>
    <definedName name="solver_rel25" localSheetId="5" hidden="1">1</definedName>
    <definedName name="solver_rel25" localSheetId="4" hidden="1">1</definedName>
    <definedName name="solver_rel25" localSheetId="6" hidden="1">1</definedName>
    <definedName name="solver_rel25" localSheetId="7" hidden="1">1</definedName>
    <definedName name="solver_rel25" localSheetId="8" hidden="1">1</definedName>
    <definedName name="solver_rel26" localSheetId="3" hidden="1">3</definedName>
    <definedName name="solver_rel26" localSheetId="5" hidden="1">3</definedName>
    <definedName name="solver_rel26" localSheetId="4" hidden="1">3</definedName>
    <definedName name="solver_rel26" localSheetId="6" hidden="1">3</definedName>
    <definedName name="solver_rel26" localSheetId="7" hidden="1">3</definedName>
    <definedName name="solver_rel26" localSheetId="8" hidden="1">3</definedName>
    <definedName name="solver_rel27" localSheetId="3" hidden="1">1</definedName>
    <definedName name="solver_rel27" localSheetId="5" hidden="1">1</definedName>
    <definedName name="solver_rel27" localSheetId="4" hidden="1">1</definedName>
    <definedName name="solver_rel27" localSheetId="6" hidden="1">1</definedName>
    <definedName name="solver_rel27" localSheetId="7" hidden="1">1</definedName>
    <definedName name="solver_rel27" localSheetId="8" hidden="1">1</definedName>
    <definedName name="solver_rel28" localSheetId="3" hidden="1">3</definedName>
    <definedName name="solver_rel28" localSheetId="5" hidden="1">3</definedName>
    <definedName name="solver_rel28" localSheetId="4" hidden="1">3</definedName>
    <definedName name="solver_rel28" localSheetId="6" hidden="1">3</definedName>
    <definedName name="solver_rel28" localSheetId="7" hidden="1">3</definedName>
    <definedName name="solver_rel28" localSheetId="8" hidden="1">3</definedName>
    <definedName name="solver_rel29" localSheetId="3" hidden="1">1</definedName>
    <definedName name="solver_rel29" localSheetId="5" hidden="1">1</definedName>
    <definedName name="solver_rel29" localSheetId="4" hidden="1">1</definedName>
    <definedName name="solver_rel29" localSheetId="6" hidden="1">1</definedName>
    <definedName name="solver_rel29" localSheetId="7" hidden="1">1</definedName>
    <definedName name="solver_rel29" localSheetId="8" hidden="1">1</definedName>
    <definedName name="solver_rel3" localSheetId="3" hidden="1">1</definedName>
    <definedName name="solver_rel3" localSheetId="5" hidden="1">1</definedName>
    <definedName name="solver_rel3" localSheetId="4" hidden="1">1</definedName>
    <definedName name="solver_rel3" localSheetId="6" hidden="1">1</definedName>
    <definedName name="solver_rel3" localSheetId="7" hidden="1">1</definedName>
    <definedName name="solver_rel3" localSheetId="8" hidden="1">1</definedName>
    <definedName name="solver_rel30" localSheetId="3" hidden="1">3</definedName>
    <definedName name="solver_rel30" localSheetId="5" hidden="1">3</definedName>
    <definedName name="solver_rel30" localSheetId="4" hidden="1">3</definedName>
    <definedName name="solver_rel30" localSheetId="6" hidden="1">3</definedName>
    <definedName name="solver_rel30" localSheetId="7" hidden="1">3</definedName>
    <definedName name="solver_rel30" localSheetId="8" hidden="1">3</definedName>
    <definedName name="solver_rel31" localSheetId="3" hidden="1">2</definedName>
    <definedName name="solver_rel31" localSheetId="5" hidden="1">2</definedName>
    <definedName name="solver_rel31" localSheetId="4" hidden="1">2</definedName>
    <definedName name="solver_rel31" localSheetId="6" hidden="1">2</definedName>
    <definedName name="solver_rel31" localSheetId="7" hidden="1">2</definedName>
    <definedName name="solver_rel31" localSheetId="8" hidden="1">2</definedName>
    <definedName name="solver_rel32" localSheetId="3" hidden="1">3</definedName>
    <definedName name="solver_rel32" localSheetId="5" hidden="1">3</definedName>
    <definedName name="solver_rel32" localSheetId="4" hidden="1">3</definedName>
    <definedName name="solver_rel32" localSheetId="6" hidden="1">3</definedName>
    <definedName name="solver_rel32" localSheetId="7" hidden="1">3</definedName>
    <definedName name="solver_rel32" localSheetId="8" hidden="1">3</definedName>
    <definedName name="solver_rel33" localSheetId="3" hidden="1">1</definedName>
    <definedName name="solver_rel33" localSheetId="5" hidden="1">1</definedName>
    <definedName name="solver_rel33" localSheetId="4" hidden="1">1</definedName>
    <definedName name="solver_rel33" localSheetId="6" hidden="1">1</definedName>
    <definedName name="solver_rel33" localSheetId="7" hidden="1">1</definedName>
    <definedName name="solver_rel33" localSheetId="8" hidden="1">1</definedName>
    <definedName name="solver_rel34" localSheetId="3" hidden="1">3</definedName>
    <definedName name="solver_rel34" localSheetId="5" hidden="1">3</definedName>
    <definedName name="solver_rel34" localSheetId="4" hidden="1">3</definedName>
    <definedName name="solver_rel34" localSheetId="6" hidden="1">3</definedName>
    <definedName name="solver_rel34" localSheetId="7" hidden="1">3</definedName>
    <definedName name="solver_rel34" localSheetId="8" hidden="1">3</definedName>
    <definedName name="solver_rel35" localSheetId="3" hidden="1">1</definedName>
    <definedName name="solver_rel35" localSheetId="5" hidden="1">1</definedName>
    <definedName name="solver_rel35" localSheetId="4" hidden="1">1</definedName>
    <definedName name="solver_rel35" localSheetId="6" hidden="1">1</definedName>
    <definedName name="solver_rel35" localSheetId="7" hidden="1">1</definedName>
    <definedName name="solver_rel35" localSheetId="8" hidden="1">1</definedName>
    <definedName name="solver_rel36" localSheetId="3" hidden="1">1</definedName>
    <definedName name="solver_rel36" localSheetId="5" hidden="1">1</definedName>
    <definedName name="solver_rel36" localSheetId="4" hidden="1">1</definedName>
    <definedName name="solver_rel36" localSheetId="6" hidden="1">1</definedName>
    <definedName name="solver_rel36" localSheetId="7" hidden="1">1</definedName>
    <definedName name="solver_rel36" localSheetId="8" hidden="1">1</definedName>
    <definedName name="solver_rel37" localSheetId="3" hidden="1">3</definedName>
    <definedName name="solver_rel37" localSheetId="5" hidden="1">3</definedName>
    <definedName name="solver_rel37" localSheetId="4" hidden="1">3</definedName>
    <definedName name="solver_rel37" localSheetId="6" hidden="1">3</definedName>
    <definedName name="solver_rel37" localSheetId="7" hidden="1">3</definedName>
    <definedName name="solver_rel37" localSheetId="8" hidden="1">3</definedName>
    <definedName name="solver_rel38" localSheetId="3" hidden="1">1</definedName>
    <definedName name="solver_rel38" localSheetId="5" hidden="1">1</definedName>
    <definedName name="solver_rel38" localSheetId="4" hidden="1">1</definedName>
    <definedName name="solver_rel38" localSheetId="6" hidden="1">1</definedName>
    <definedName name="solver_rel38" localSheetId="7" hidden="1">1</definedName>
    <definedName name="solver_rel38" localSheetId="8" hidden="1">1</definedName>
    <definedName name="solver_rel39" localSheetId="3" hidden="1">3</definedName>
    <definedName name="solver_rel39" localSheetId="5" hidden="1">3</definedName>
    <definedName name="solver_rel39" localSheetId="4" hidden="1">3</definedName>
    <definedName name="solver_rel39" localSheetId="6" hidden="1">3</definedName>
    <definedName name="solver_rel39" localSheetId="7" hidden="1">3</definedName>
    <definedName name="solver_rel39" localSheetId="8" hidden="1">3</definedName>
    <definedName name="solver_rel4" localSheetId="3" hidden="1">3</definedName>
    <definedName name="solver_rel4" localSheetId="5" hidden="1">3</definedName>
    <definedName name="solver_rel4" localSheetId="4" hidden="1">3</definedName>
    <definedName name="solver_rel4" localSheetId="6" hidden="1">3</definedName>
    <definedName name="solver_rel4" localSheetId="7" hidden="1">3</definedName>
    <definedName name="solver_rel4" localSheetId="8" hidden="1">3</definedName>
    <definedName name="solver_rel40" localSheetId="3" hidden="1">3</definedName>
    <definedName name="solver_rel40" localSheetId="5" hidden="1">3</definedName>
    <definedName name="solver_rel40" localSheetId="4" hidden="1">3</definedName>
    <definedName name="solver_rel40" localSheetId="6" hidden="1">3</definedName>
    <definedName name="solver_rel40" localSheetId="7" hidden="1">3</definedName>
    <definedName name="solver_rel40" localSheetId="8" hidden="1">3</definedName>
    <definedName name="solver_rel41" localSheetId="3" hidden="1">1</definedName>
    <definedName name="solver_rel41" localSheetId="5" hidden="1">3</definedName>
    <definedName name="solver_rel41" localSheetId="4" hidden="1">3</definedName>
    <definedName name="solver_rel41" localSheetId="6" hidden="1">3</definedName>
    <definedName name="solver_rel41" localSheetId="7" hidden="1">3</definedName>
    <definedName name="solver_rel41" localSheetId="8" hidden="1">1</definedName>
    <definedName name="solver_rel42" localSheetId="3" hidden="1">3</definedName>
    <definedName name="solver_rel42" localSheetId="5" hidden="1">3</definedName>
    <definedName name="solver_rel42" localSheetId="4" hidden="1">3</definedName>
    <definedName name="solver_rel42" localSheetId="6" hidden="1">3</definedName>
    <definedName name="solver_rel42" localSheetId="7" hidden="1">3</definedName>
    <definedName name="solver_rel42" localSheetId="8" hidden="1">3</definedName>
    <definedName name="solver_rel43" localSheetId="3" hidden="1">1</definedName>
    <definedName name="solver_rel43" localSheetId="5" hidden="1">3</definedName>
    <definedName name="solver_rel43" localSheetId="4" hidden="1">3</definedName>
    <definedName name="solver_rel43" localSheetId="6" hidden="1">3</definedName>
    <definedName name="solver_rel43" localSheetId="7" hidden="1">3</definedName>
    <definedName name="solver_rel43" localSheetId="8" hidden="1">1</definedName>
    <definedName name="solver_rel44" localSheetId="3" hidden="1">3</definedName>
    <definedName name="solver_rel44" localSheetId="5" hidden="1">3</definedName>
    <definedName name="solver_rel44" localSheetId="4" hidden="1">3</definedName>
    <definedName name="solver_rel44" localSheetId="6" hidden="1">3</definedName>
    <definedName name="solver_rel44" localSheetId="7" hidden="1">3</definedName>
    <definedName name="solver_rel44" localSheetId="8" hidden="1">3</definedName>
    <definedName name="solver_rel45" localSheetId="3" hidden="1">1</definedName>
    <definedName name="solver_rel45" localSheetId="5" hidden="1">1</definedName>
    <definedName name="solver_rel45" localSheetId="4" hidden="1">1</definedName>
    <definedName name="solver_rel45" localSheetId="6" hidden="1">1</definedName>
    <definedName name="solver_rel45" localSheetId="7" hidden="1">1</definedName>
    <definedName name="solver_rel45" localSheetId="8" hidden="1">1</definedName>
    <definedName name="solver_rel46" localSheetId="3" hidden="1">1</definedName>
    <definedName name="solver_rel46" localSheetId="5" hidden="1">1</definedName>
    <definedName name="solver_rel46" localSheetId="4" hidden="1">1</definedName>
    <definedName name="solver_rel46" localSheetId="6" hidden="1">1</definedName>
    <definedName name="solver_rel46" localSheetId="7" hidden="1">1</definedName>
    <definedName name="solver_rel46" localSheetId="8" hidden="1">1</definedName>
    <definedName name="solver_rel47" localSheetId="3" hidden="1">3</definedName>
    <definedName name="solver_rel47" localSheetId="5" hidden="1">3</definedName>
    <definedName name="solver_rel47" localSheetId="4" hidden="1">3</definedName>
    <definedName name="solver_rel47" localSheetId="6" hidden="1">3</definedName>
    <definedName name="solver_rel47" localSheetId="7" hidden="1">3</definedName>
    <definedName name="solver_rel47" localSheetId="8" hidden="1">3</definedName>
    <definedName name="solver_rel5" localSheetId="3" hidden="1">1</definedName>
    <definedName name="solver_rel5" localSheetId="5" hidden="1">1</definedName>
    <definedName name="solver_rel5" localSheetId="4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6" localSheetId="3" hidden="1">3</definedName>
    <definedName name="solver_rel6" localSheetId="5" hidden="1">3</definedName>
    <definedName name="solver_rel6" localSheetId="4" hidden="1">3</definedName>
    <definedName name="solver_rel6" localSheetId="6" hidden="1">3</definedName>
    <definedName name="solver_rel6" localSheetId="7" hidden="1">3</definedName>
    <definedName name="solver_rel6" localSheetId="8" hidden="1">3</definedName>
    <definedName name="solver_rel7" localSheetId="3" hidden="1">1</definedName>
    <definedName name="solver_rel7" localSheetId="5" hidden="1">1</definedName>
    <definedName name="solver_rel7" localSheetId="4" hidden="1">1</definedName>
    <definedName name="solver_rel7" localSheetId="6" hidden="1">1</definedName>
    <definedName name="solver_rel7" localSheetId="7" hidden="1">1</definedName>
    <definedName name="solver_rel7" localSheetId="8" hidden="1">1</definedName>
    <definedName name="solver_rel8" localSheetId="3" hidden="1">3</definedName>
    <definedName name="solver_rel8" localSheetId="5" hidden="1">3</definedName>
    <definedName name="solver_rel8" localSheetId="4" hidden="1">3</definedName>
    <definedName name="solver_rel8" localSheetId="6" hidden="1">3</definedName>
    <definedName name="solver_rel8" localSheetId="7" hidden="1">3</definedName>
    <definedName name="solver_rel8" localSheetId="8" hidden="1">3</definedName>
    <definedName name="solver_rel9" localSheetId="3" hidden="1">1</definedName>
    <definedName name="solver_rel9" localSheetId="5" hidden="1">1</definedName>
    <definedName name="solver_rel9" localSheetId="4" hidden="1">1</definedName>
    <definedName name="solver_rel9" localSheetId="6" hidden="1">1</definedName>
    <definedName name="solver_rel9" localSheetId="7" hidden="1">1</definedName>
    <definedName name="solver_rel9" localSheetId="8" hidden="1">1</definedName>
    <definedName name="solver_rhs1" localSheetId="3" hidden="1">'Kebutuhan Nutrient'!#REF!</definedName>
    <definedName name="solver_rhs1" localSheetId="5" hidden="1">Penggemukan!$T$29</definedName>
    <definedName name="solver_rhs1" localSheetId="4" hidden="1">RANSUM!$T$29</definedName>
    <definedName name="solver_rhs1" localSheetId="6" hidden="1">'Sapi Induk'!$T$29</definedName>
    <definedName name="solver_rhs1" localSheetId="7" hidden="1">'Sapi Pertumbuhan'!$T$29</definedName>
    <definedName name="solver_rhs1" localSheetId="8" hidden="1">'Trial and Error'!$T$29</definedName>
    <definedName name="solver_rhs10" localSheetId="3" hidden="1">'Kebutuhan Nutrient'!#REF!</definedName>
    <definedName name="solver_rhs10" localSheetId="5" hidden="1">Penggemukan!$S$33</definedName>
    <definedName name="solver_rhs10" localSheetId="4" hidden="1">RANSUM!$S$33</definedName>
    <definedName name="solver_rhs10" localSheetId="6" hidden="1">'Sapi Induk'!$S$33</definedName>
    <definedName name="solver_rhs10" localSheetId="7" hidden="1">'Sapi Pertumbuhan'!$S$33</definedName>
    <definedName name="solver_rhs10" localSheetId="8" hidden="1">'Trial and Error'!$S$33</definedName>
    <definedName name="solver_rhs11" localSheetId="3" hidden="1">'Kebutuhan Nutrient'!#REF!</definedName>
    <definedName name="solver_rhs11" localSheetId="5" hidden="1">Penggemukan!$T$34</definedName>
    <definedName name="solver_rhs11" localSheetId="4" hidden="1">RANSUM!$T$34</definedName>
    <definedName name="solver_rhs11" localSheetId="6" hidden="1">'Sapi Induk'!$T$34</definedName>
    <definedName name="solver_rhs11" localSheetId="7" hidden="1">'Sapi Pertumbuhan'!$T$34</definedName>
    <definedName name="solver_rhs11" localSheetId="8" hidden="1">'Trial and Error'!$T$34</definedName>
    <definedName name="solver_rhs12" localSheetId="3" hidden="1">'Kebutuhan Nutrient'!#REF!</definedName>
    <definedName name="solver_rhs12" localSheetId="5" hidden="1">Penggemukan!$S$34</definedName>
    <definedName name="solver_rhs12" localSheetId="4" hidden="1">RANSUM!$S$34</definedName>
    <definedName name="solver_rhs12" localSheetId="6" hidden="1">'Sapi Induk'!$S$34</definedName>
    <definedName name="solver_rhs12" localSheetId="7" hidden="1">'Sapi Pertumbuhan'!$S$34</definedName>
    <definedName name="solver_rhs12" localSheetId="8" hidden="1">'Trial and Error'!$S$34</definedName>
    <definedName name="solver_rhs13" localSheetId="3" hidden="1">'Kebutuhan Nutrient'!#REF!</definedName>
    <definedName name="solver_rhs13" localSheetId="5" hidden="1">Penggemukan!$T$35</definedName>
    <definedName name="solver_rhs13" localSheetId="4" hidden="1">RANSUM!$T$35</definedName>
    <definedName name="solver_rhs13" localSheetId="6" hidden="1">'Sapi Induk'!$T$35</definedName>
    <definedName name="solver_rhs13" localSheetId="7" hidden="1">'Sapi Pertumbuhan'!$T$35</definedName>
    <definedName name="solver_rhs13" localSheetId="8" hidden="1">'Trial and Error'!$T$35</definedName>
    <definedName name="solver_rhs14" localSheetId="3" hidden="1">'Kebutuhan Nutrient'!#REF!</definedName>
    <definedName name="solver_rhs14" localSheetId="5" hidden="1">Penggemukan!$S$35</definedName>
    <definedName name="solver_rhs14" localSheetId="4" hidden="1">RANSUM!$S$35</definedName>
    <definedName name="solver_rhs14" localSheetId="6" hidden="1">'Sapi Induk'!$S$35</definedName>
    <definedName name="solver_rhs14" localSheetId="7" hidden="1">'Sapi Pertumbuhan'!$S$35</definedName>
    <definedName name="solver_rhs14" localSheetId="8" hidden="1">'Trial and Error'!$S$35</definedName>
    <definedName name="solver_rhs15" localSheetId="3" hidden="1">'Kebutuhan Nutrient'!#REF!</definedName>
    <definedName name="solver_rhs15" localSheetId="5" hidden="1">Penggemukan!$T$36</definedName>
    <definedName name="solver_rhs15" localSheetId="4" hidden="1">RANSUM!$T$36</definedName>
    <definedName name="solver_rhs15" localSheetId="6" hidden="1">'Sapi Induk'!$T$36</definedName>
    <definedName name="solver_rhs15" localSheetId="7" hidden="1">'Sapi Pertumbuhan'!$T$36</definedName>
    <definedName name="solver_rhs15" localSheetId="8" hidden="1">'Trial and Error'!$T$36</definedName>
    <definedName name="solver_rhs16" localSheetId="3" hidden="1">'Kebutuhan Nutrient'!#REF!</definedName>
    <definedName name="solver_rhs16" localSheetId="5" hidden="1">Penggemukan!$S$36</definedName>
    <definedName name="solver_rhs16" localSheetId="4" hidden="1">RANSUM!$S$36</definedName>
    <definedName name="solver_rhs16" localSheetId="6" hidden="1">'Sapi Induk'!$S$36</definedName>
    <definedName name="solver_rhs16" localSheetId="7" hidden="1">'Sapi Pertumbuhan'!$S$36</definedName>
    <definedName name="solver_rhs16" localSheetId="8" hidden="1">'Trial and Error'!$S$36</definedName>
    <definedName name="solver_rhs17" localSheetId="3" hidden="1">'Kebutuhan Nutrient'!#REF!</definedName>
    <definedName name="solver_rhs17" localSheetId="5" hidden="1">Penggemukan!$T$37</definedName>
    <definedName name="solver_rhs17" localSheetId="4" hidden="1">RANSUM!$T$37</definedName>
    <definedName name="solver_rhs17" localSheetId="6" hidden="1">'Sapi Induk'!$T$37</definedName>
    <definedName name="solver_rhs17" localSheetId="7" hidden="1">'Sapi Pertumbuhan'!$T$37</definedName>
    <definedName name="solver_rhs17" localSheetId="8" hidden="1">'Trial and Error'!$T$37</definedName>
    <definedName name="solver_rhs18" localSheetId="3" hidden="1">'Kebutuhan Nutrient'!#REF!</definedName>
    <definedName name="solver_rhs18" localSheetId="5" hidden="1">Penggemukan!$S$37</definedName>
    <definedName name="solver_rhs18" localSheetId="4" hidden="1">RANSUM!$S$37</definedName>
    <definedName name="solver_rhs18" localSheetId="6" hidden="1">'Sapi Induk'!$S$37</definedName>
    <definedName name="solver_rhs18" localSheetId="7" hidden="1">'Sapi Pertumbuhan'!$S$37</definedName>
    <definedName name="solver_rhs18" localSheetId="8" hidden="1">'Trial and Error'!$S$37</definedName>
    <definedName name="solver_rhs19" localSheetId="3" hidden="1">'Kebutuhan Nutrient'!#REF!</definedName>
    <definedName name="solver_rhs19" localSheetId="5" hidden="1">Penggemukan!$T$38</definedName>
    <definedName name="solver_rhs19" localSheetId="4" hidden="1">RANSUM!$T$38</definedName>
    <definedName name="solver_rhs19" localSheetId="6" hidden="1">'Sapi Induk'!$T$38</definedName>
    <definedName name="solver_rhs19" localSheetId="7" hidden="1">'Sapi Pertumbuhan'!$T$38</definedName>
    <definedName name="solver_rhs19" localSheetId="8" hidden="1">'Trial and Error'!$T$38</definedName>
    <definedName name="solver_rhs2" localSheetId="3" hidden="1">'Kebutuhan Nutrient'!#REF!</definedName>
    <definedName name="solver_rhs2" localSheetId="5" hidden="1">Penggemukan!$S$29</definedName>
    <definedName name="solver_rhs2" localSheetId="4" hidden="1">RANSUM!$S$29</definedName>
    <definedName name="solver_rhs2" localSheetId="6" hidden="1">'Sapi Induk'!$S$29</definedName>
    <definedName name="solver_rhs2" localSheetId="7" hidden="1">'Sapi Pertumbuhan'!$S$29</definedName>
    <definedName name="solver_rhs2" localSheetId="8" hidden="1">'Trial and Error'!$S$29</definedName>
    <definedName name="solver_rhs20" localSheetId="3" hidden="1">'Kebutuhan Nutrient'!#REF!</definedName>
    <definedName name="solver_rhs20" localSheetId="5" hidden="1">Penggemukan!$S$38</definedName>
    <definedName name="solver_rhs20" localSheetId="4" hidden="1">RANSUM!$S$38</definedName>
    <definedName name="solver_rhs20" localSheetId="6" hidden="1">'Sapi Induk'!$S$38</definedName>
    <definedName name="solver_rhs20" localSheetId="7" hidden="1">'Sapi Pertumbuhan'!$S$38</definedName>
    <definedName name="solver_rhs20" localSheetId="8" hidden="1">'Trial and Error'!$S$38</definedName>
    <definedName name="solver_rhs21" localSheetId="3" hidden="1">'Kebutuhan Nutrient'!#REF!</definedName>
    <definedName name="solver_rhs21" localSheetId="5" hidden="1">Penggemukan!$T$39</definedName>
    <definedName name="solver_rhs21" localSheetId="4" hidden="1">RANSUM!$T$39</definedName>
    <definedName name="solver_rhs21" localSheetId="6" hidden="1">'Sapi Induk'!$T$39</definedName>
    <definedName name="solver_rhs21" localSheetId="7" hidden="1">'Sapi Pertumbuhan'!$T$39</definedName>
    <definedName name="solver_rhs21" localSheetId="8" hidden="1">'Trial and Error'!$T$39</definedName>
    <definedName name="solver_rhs22" localSheetId="3" hidden="1">'Kebutuhan Nutrient'!#REF!</definedName>
    <definedName name="solver_rhs22" localSheetId="5" hidden="1">Penggemukan!$S$39</definedName>
    <definedName name="solver_rhs22" localSheetId="4" hidden="1">RANSUM!$S$39</definedName>
    <definedName name="solver_rhs22" localSheetId="6" hidden="1">'Sapi Induk'!$S$39</definedName>
    <definedName name="solver_rhs22" localSheetId="7" hidden="1">'Sapi Pertumbuhan'!$S$39</definedName>
    <definedName name="solver_rhs22" localSheetId="8" hidden="1">'Trial and Error'!$S$39</definedName>
    <definedName name="solver_rhs23" localSheetId="3" hidden="1">'Kebutuhan Nutrient'!#REF!</definedName>
    <definedName name="solver_rhs23" localSheetId="5" hidden="1">Penggemukan!$T$40</definedName>
    <definedName name="solver_rhs23" localSheetId="4" hidden="1">RANSUM!$T$40</definedName>
    <definedName name="solver_rhs23" localSheetId="6" hidden="1">'Sapi Induk'!$T$40</definedName>
    <definedName name="solver_rhs23" localSheetId="7" hidden="1">'Sapi Pertumbuhan'!$T$40</definedName>
    <definedName name="solver_rhs23" localSheetId="8" hidden="1">'Trial and Error'!$T$40</definedName>
    <definedName name="solver_rhs24" localSheetId="3" hidden="1">'Kebutuhan Nutrient'!#REF!</definedName>
    <definedName name="solver_rhs24" localSheetId="5" hidden="1">Penggemukan!$S$40</definedName>
    <definedName name="solver_rhs24" localSheetId="4" hidden="1">RANSUM!$S$40</definedName>
    <definedName name="solver_rhs24" localSheetId="6" hidden="1">'Sapi Induk'!$S$40</definedName>
    <definedName name="solver_rhs24" localSheetId="7" hidden="1">'Sapi Pertumbuhan'!$S$40</definedName>
    <definedName name="solver_rhs24" localSheetId="8" hidden="1">'Trial and Error'!$S$40</definedName>
    <definedName name="solver_rhs25" localSheetId="3" hidden="1">'Kebutuhan Nutrient'!#REF!</definedName>
    <definedName name="solver_rhs25" localSheetId="5" hidden="1">Penggemukan!$T$41</definedName>
    <definedName name="solver_rhs25" localSheetId="4" hidden="1">RANSUM!$T$41</definedName>
    <definedName name="solver_rhs25" localSheetId="6" hidden="1">'Sapi Induk'!$T$41</definedName>
    <definedName name="solver_rhs25" localSheetId="7" hidden="1">'Sapi Pertumbuhan'!$T$41</definedName>
    <definedName name="solver_rhs25" localSheetId="8" hidden="1">'Trial and Error'!$T$41</definedName>
    <definedName name="solver_rhs26" localSheetId="3" hidden="1">'Kebutuhan Nutrient'!#REF!</definedName>
    <definedName name="solver_rhs26" localSheetId="5" hidden="1">Penggemukan!$S$41</definedName>
    <definedName name="solver_rhs26" localSheetId="4" hidden="1">RANSUM!$S$41</definedName>
    <definedName name="solver_rhs26" localSheetId="6" hidden="1">'Sapi Induk'!$S$41</definedName>
    <definedName name="solver_rhs26" localSheetId="7" hidden="1">'Sapi Pertumbuhan'!$S$41</definedName>
    <definedName name="solver_rhs26" localSheetId="8" hidden="1">'Trial and Error'!$S$41</definedName>
    <definedName name="solver_rhs27" localSheetId="3" hidden="1">'Kebutuhan Nutrient'!#REF!</definedName>
    <definedName name="solver_rhs27" localSheetId="5" hidden="1">Penggemukan!$T$42</definedName>
    <definedName name="solver_rhs27" localSheetId="4" hidden="1">RANSUM!$T$42</definedName>
    <definedName name="solver_rhs27" localSheetId="6" hidden="1">'Sapi Induk'!$T$42</definedName>
    <definedName name="solver_rhs27" localSheetId="7" hidden="1">'Sapi Pertumbuhan'!$T$42</definedName>
    <definedName name="solver_rhs27" localSheetId="8" hidden="1">'Trial and Error'!$T$42</definedName>
    <definedName name="solver_rhs28" localSheetId="3" hidden="1">'Kebutuhan Nutrient'!#REF!</definedName>
    <definedName name="solver_rhs28" localSheetId="5" hidden="1">Penggemukan!$S$42</definedName>
    <definedName name="solver_rhs28" localSheetId="4" hidden="1">RANSUM!$S$42</definedName>
    <definedName name="solver_rhs28" localSheetId="6" hidden="1">'Sapi Induk'!$S$42</definedName>
    <definedName name="solver_rhs28" localSheetId="7" hidden="1">'Sapi Pertumbuhan'!$S$42</definedName>
    <definedName name="solver_rhs28" localSheetId="8" hidden="1">'Trial and Error'!$S$42</definedName>
    <definedName name="solver_rhs29" localSheetId="3" hidden="1">'Kebutuhan Nutrient'!#REF!</definedName>
    <definedName name="solver_rhs29" localSheetId="5" hidden="1">Penggemukan!$T$43</definedName>
    <definedName name="solver_rhs29" localSheetId="4" hidden="1">RANSUM!$T$43</definedName>
    <definedName name="solver_rhs29" localSheetId="6" hidden="1">'Sapi Induk'!$T$43</definedName>
    <definedName name="solver_rhs29" localSheetId="7" hidden="1">'Sapi Pertumbuhan'!$T$43</definedName>
    <definedName name="solver_rhs29" localSheetId="8" hidden="1">'Trial and Error'!$T$43</definedName>
    <definedName name="solver_rhs3" localSheetId="3" hidden="1">'Kebutuhan Nutrient'!#REF!</definedName>
    <definedName name="solver_rhs3" localSheetId="5" hidden="1">Penggemukan!$T$30</definedName>
    <definedName name="solver_rhs3" localSheetId="4" hidden="1">RANSUM!$T$30</definedName>
    <definedName name="solver_rhs3" localSheetId="6" hidden="1">'Sapi Induk'!$T$30</definedName>
    <definedName name="solver_rhs3" localSheetId="7" hidden="1">'Sapi Pertumbuhan'!$T$30</definedName>
    <definedName name="solver_rhs3" localSheetId="8" hidden="1">'Trial and Error'!$T$30</definedName>
    <definedName name="solver_rhs30" localSheetId="3" hidden="1">'Kebutuhan Nutrient'!#REF!</definedName>
    <definedName name="solver_rhs30" localSheetId="5" hidden="1">Penggemukan!$S$43</definedName>
    <definedName name="solver_rhs30" localSheetId="4" hidden="1">RANSUM!$S$43</definedName>
    <definedName name="solver_rhs30" localSheetId="6" hidden="1">'Sapi Induk'!$S$43</definedName>
    <definedName name="solver_rhs30" localSheetId="7" hidden="1">'Sapi Pertumbuhan'!$S$43</definedName>
    <definedName name="solver_rhs30" localSheetId="8" hidden="1">'Trial and Error'!$S$43</definedName>
    <definedName name="solver_rhs31" localSheetId="3" hidden="1">100</definedName>
    <definedName name="solver_rhs31" localSheetId="5" hidden="1">100</definedName>
    <definedName name="solver_rhs31" localSheetId="4" hidden="1">100</definedName>
    <definedName name="solver_rhs31" localSheetId="6" hidden="1">100</definedName>
    <definedName name="solver_rhs31" localSheetId="7" hidden="1">100</definedName>
    <definedName name="solver_rhs31" localSheetId="8" hidden="1">100</definedName>
    <definedName name="solver_rhs32" localSheetId="3" hidden="1">'Kebutuhan Nutrient'!#REF!</definedName>
    <definedName name="solver_rhs32" localSheetId="5" hidden="1">Penggemukan!$G$44</definedName>
    <definedName name="solver_rhs32" localSheetId="4" hidden="1">RANSUM!$G$44</definedName>
    <definedName name="solver_rhs32" localSheetId="6" hidden="1">'Sapi Induk'!$G$44</definedName>
    <definedName name="solver_rhs32" localSheetId="7" hidden="1">'Sapi Pertumbuhan'!$G$44</definedName>
    <definedName name="solver_rhs32" localSheetId="8" hidden="1">'Trial and Error'!$G$44</definedName>
    <definedName name="solver_rhs33" localSheetId="3" hidden="1">'Kebutuhan Nutrient'!#REF!</definedName>
    <definedName name="solver_rhs33" localSheetId="5" hidden="1">Penggemukan!$I$46</definedName>
    <definedName name="solver_rhs33" localSheetId="4" hidden="1">RANSUM!$I$46</definedName>
    <definedName name="solver_rhs33" localSheetId="6" hidden="1">'Sapi Induk'!$I$46</definedName>
    <definedName name="solver_rhs33" localSheetId="7" hidden="1">'Sapi Pertumbuhan'!$I$46</definedName>
    <definedName name="solver_rhs33" localSheetId="8" hidden="1">'Trial and Error'!$I$46</definedName>
    <definedName name="solver_rhs34" localSheetId="3" hidden="1">'Kebutuhan Nutrient'!#REF!</definedName>
    <definedName name="solver_rhs34" localSheetId="5" hidden="1">Penggemukan!$I$44</definedName>
    <definedName name="solver_rhs34" localSheetId="4" hidden="1">RANSUM!$I$44</definedName>
    <definedName name="solver_rhs34" localSheetId="6" hidden="1">'Sapi Induk'!$I$44</definedName>
    <definedName name="solver_rhs34" localSheetId="7" hidden="1">'Sapi Pertumbuhan'!$I$44</definedName>
    <definedName name="solver_rhs34" localSheetId="8" hidden="1">'Trial and Error'!$I$44</definedName>
    <definedName name="solver_rhs35" localSheetId="3" hidden="1">'Kebutuhan Nutrient'!#REF!</definedName>
    <definedName name="solver_rhs35" localSheetId="5" hidden="1">Penggemukan!$K$46</definedName>
    <definedName name="solver_rhs35" localSheetId="4" hidden="1">RANSUM!$K$46</definedName>
    <definedName name="solver_rhs35" localSheetId="6" hidden="1">'Sapi Induk'!$K$46</definedName>
    <definedName name="solver_rhs35" localSheetId="7" hidden="1">'Sapi Pertumbuhan'!$K$46</definedName>
    <definedName name="solver_rhs35" localSheetId="8" hidden="1">'Trial and Error'!$K$46</definedName>
    <definedName name="solver_rhs36" localSheetId="3" hidden="1">'Kebutuhan Nutrient'!#REF!</definedName>
    <definedName name="solver_rhs36" localSheetId="5" hidden="1">Penggemukan!$M$46</definedName>
    <definedName name="solver_rhs36" localSheetId="4" hidden="1">RANSUM!$M$46</definedName>
    <definedName name="solver_rhs36" localSheetId="6" hidden="1">'Sapi Induk'!$M$46</definedName>
    <definedName name="solver_rhs36" localSheetId="7" hidden="1">'Sapi Pertumbuhan'!$M$46</definedName>
    <definedName name="solver_rhs36" localSheetId="8" hidden="1">'Trial and Error'!$M$46</definedName>
    <definedName name="solver_rhs37" localSheetId="3" hidden="1">'Kebutuhan Nutrient'!#REF!</definedName>
    <definedName name="solver_rhs37" localSheetId="5" hidden="1">Penggemukan!$M$44</definedName>
    <definedName name="solver_rhs37" localSheetId="4" hidden="1">RANSUM!$M$44</definedName>
    <definedName name="solver_rhs37" localSheetId="6" hidden="1">'Sapi Induk'!$M$44</definedName>
    <definedName name="solver_rhs37" localSheetId="7" hidden="1">'Sapi Pertumbuhan'!$M$44</definedName>
    <definedName name="solver_rhs37" localSheetId="8" hidden="1">'Trial and Error'!$M$44</definedName>
    <definedName name="solver_rhs38" localSheetId="3" hidden="1">'Kebutuhan Nutrient'!#REF!</definedName>
    <definedName name="solver_rhs38" localSheetId="5" hidden="1">Penggemukan!$N$46</definedName>
    <definedName name="solver_rhs38" localSheetId="4" hidden="1">RANSUM!$N$46</definedName>
    <definedName name="solver_rhs38" localSheetId="6" hidden="1">'Sapi Induk'!$N$46</definedName>
    <definedName name="solver_rhs38" localSheetId="7" hidden="1">'Sapi Pertumbuhan'!$N$46</definedName>
    <definedName name="solver_rhs38" localSheetId="8" hidden="1">'Trial and Error'!$N$46</definedName>
    <definedName name="solver_rhs39" localSheetId="3" hidden="1">'Kebutuhan Nutrient'!#REF!</definedName>
    <definedName name="solver_rhs39" localSheetId="5" hidden="1">Penggemukan!$N$44</definedName>
    <definedName name="solver_rhs39" localSheetId="4" hidden="1">RANSUM!$N$44</definedName>
    <definedName name="solver_rhs39" localSheetId="6" hidden="1">'Sapi Induk'!$N$44</definedName>
    <definedName name="solver_rhs39" localSheetId="7" hidden="1">'Sapi Pertumbuhan'!$N$44</definedName>
    <definedName name="solver_rhs39" localSheetId="8" hidden="1">'Trial and Error'!$N$44</definedName>
    <definedName name="solver_rhs4" localSheetId="3" hidden="1">'Kebutuhan Nutrient'!#REF!</definedName>
    <definedName name="solver_rhs4" localSheetId="5" hidden="1">Penggemukan!$S$30</definedName>
    <definedName name="solver_rhs4" localSheetId="4" hidden="1">RANSUM!$S$30</definedName>
    <definedName name="solver_rhs4" localSheetId="6" hidden="1">'Sapi Induk'!$S$30</definedName>
    <definedName name="solver_rhs4" localSheetId="7" hidden="1">'Sapi Pertumbuhan'!$S$30</definedName>
    <definedName name="solver_rhs4" localSheetId="8" hidden="1">'Trial and Error'!$S$30</definedName>
    <definedName name="solver_rhs40" localSheetId="3" hidden="1">'Kebutuhan Nutrient'!#REF!</definedName>
    <definedName name="solver_rhs40" localSheetId="5" hidden="1">Penggemukan!$R$44</definedName>
    <definedName name="solver_rhs40" localSheetId="4" hidden="1">RANSUM!$R$44</definedName>
    <definedName name="solver_rhs40" localSheetId="6" hidden="1">'Sapi Induk'!$R$44</definedName>
    <definedName name="solver_rhs40" localSheetId="7" hidden="1">'Sapi Pertumbuhan'!$O$44</definedName>
    <definedName name="solver_rhs40" localSheetId="8" hidden="1">'Trial and Error'!$P$44</definedName>
    <definedName name="solver_rhs41" localSheetId="3" hidden="1">'Kebutuhan Nutrient'!#REF!</definedName>
    <definedName name="solver_rhs41" localSheetId="5" hidden="1">Penggemukan!$R$44</definedName>
    <definedName name="solver_rhs41" localSheetId="4" hidden="1">RANSUM!$R$44</definedName>
    <definedName name="solver_rhs41" localSheetId="6" hidden="1">'Sapi Induk'!$R$44</definedName>
    <definedName name="solver_rhs41" localSheetId="7" hidden="1">'Sapi Pertumbuhan'!$O$44</definedName>
    <definedName name="solver_rhs41" localSheetId="8" hidden="1">'Trial and Error'!$Q$46</definedName>
    <definedName name="solver_rhs42" localSheetId="3" hidden="1">'Kebutuhan Nutrient'!#REF!</definedName>
    <definedName name="solver_rhs42" localSheetId="5" hidden="1">Penggemukan!$R$44</definedName>
    <definedName name="solver_rhs42" localSheetId="4" hidden="1">RANSUM!$R$44</definedName>
    <definedName name="solver_rhs42" localSheetId="6" hidden="1">'Sapi Induk'!$R$44</definedName>
    <definedName name="solver_rhs42" localSheetId="7" hidden="1">'Sapi Pertumbuhan'!$R$44</definedName>
    <definedName name="solver_rhs42" localSheetId="8" hidden="1">'Trial and Error'!$Q$44</definedName>
    <definedName name="solver_rhs43" localSheetId="3" hidden="1">'Kebutuhan Nutrient'!#REF!</definedName>
    <definedName name="solver_rhs43" localSheetId="5" hidden="1">Penggemukan!$R$44</definedName>
    <definedName name="solver_rhs43" localSheetId="4" hidden="1">RANSUM!$R$44</definedName>
    <definedName name="solver_rhs43" localSheetId="6" hidden="1">'Sapi Induk'!$R$44</definedName>
    <definedName name="solver_rhs43" localSheetId="7" hidden="1">'Sapi Pertumbuhan'!$R$44</definedName>
    <definedName name="solver_rhs43" localSheetId="8" hidden="1">'Trial and Error'!$R$46</definedName>
    <definedName name="solver_rhs44" localSheetId="3" hidden="1">'Kebutuhan Nutrient'!#REF!</definedName>
    <definedName name="solver_rhs44" localSheetId="5" hidden="1">Penggemukan!$R$44</definedName>
    <definedName name="solver_rhs44" localSheetId="4" hidden="1">RANSUM!$R$44</definedName>
    <definedName name="solver_rhs44" localSheetId="6" hidden="1">'Sapi Induk'!$R$44</definedName>
    <definedName name="solver_rhs44" localSheetId="7" hidden="1">'Sapi Pertumbuhan'!$R$44</definedName>
    <definedName name="solver_rhs44" localSheetId="8" hidden="1">'Trial and Error'!$R$44</definedName>
    <definedName name="solver_rhs45" localSheetId="3" hidden="1">'Kebutuhan Nutrient'!#REF!</definedName>
    <definedName name="solver_rhs45" localSheetId="5" hidden="1">Penggemukan!$T$39</definedName>
    <definedName name="solver_rhs45" localSheetId="4" hidden="1">RANSUM!$T$39</definedName>
    <definedName name="solver_rhs45" localSheetId="6" hidden="1">'Sapi Induk'!$T$39</definedName>
    <definedName name="solver_rhs45" localSheetId="7" hidden="1">'Sapi Pertumbuhan'!$T$39</definedName>
    <definedName name="solver_rhs45" localSheetId="8" hidden="1">'Trial and Error'!$T$39</definedName>
    <definedName name="solver_rhs46" localSheetId="3" hidden="1">'Kebutuhan Nutrient'!#REF!</definedName>
    <definedName name="solver_rhs46" localSheetId="5" hidden="1">Penggemukan!$T$39</definedName>
    <definedName name="solver_rhs46" localSheetId="4" hidden="1">RANSUM!$T$39</definedName>
    <definedName name="solver_rhs46" localSheetId="6" hidden="1">'Sapi Induk'!$T$39</definedName>
    <definedName name="solver_rhs46" localSheetId="7" hidden="1">'Sapi Pertumbuhan'!$T$39</definedName>
    <definedName name="solver_rhs46" localSheetId="8" hidden="1">'Trial and Error'!$T$39</definedName>
    <definedName name="solver_rhs47" localSheetId="3" hidden="1">'Kebutuhan Nutrient'!#REF!</definedName>
    <definedName name="solver_rhs47" localSheetId="5" hidden="1">Penggemukan!$S$29</definedName>
    <definedName name="solver_rhs47" localSheetId="4" hidden="1">RANSUM!$S$29</definedName>
    <definedName name="solver_rhs47" localSheetId="6" hidden="1">'Sapi Induk'!$S$29</definedName>
    <definedName name="solver_rhs47" localSheetId="7" hidden="1">'Sapi Pertumbuhan'!$S$29</definedName>
    <definedName name="solver_rhs47" localSheetId="8" hidden="1">'Trial and Error'!$S$29</definedName>
    <definedName name="solver_rhs5" localSheetId="3" hidden="1">'Kebutuhan Nutrient'!#REF!</definedName>
    <definedName name="solver_rhs5" localSheetId="5" hidden="1">Penggemukan!$T$31</definedName>
    <definedName name="solver_rhs5" localSheetId="4" hidden="1">RANSUM!$T$31</definedName>
    <definedName name="solver_rhs5" localSheetId="6" hidden="1">'Sapi Induk'!$T$31</definedName>
    <definedName name="solver_rhs5" localSheetId="7" hidden="1">'Sapi Pertumbuhan'!$T$31</definedName>
    <definedName name="solver_rhs5" localSheetId="8" hidden="1">'Trial and Error'!$T$31</definedName>
    <definedName name="solver_rhs6" localSheetId="3" hidden="1">'Kebutuhan Nutrient'!#REF!</definedName>
    <definedName name="solver_rhs6" localSheetId="5" hidden="1">Penggemukan!$S$31</definedName>
    <definedName name="solver_rhs6" localSheetId="4" hidden="1">RANSUM!$S$31</definedName>
    <definedName name="solver_rhs6" localSheetId="6" hidden="1">'Sapi Induk'!$S$31</definedName>
    <definedName name="solver_rhs6" localSheetId="7" hidden="1">'Sapi Pertumbuhan'!$S$31</definedName>
    <definedName name="solver_rhs6" localSheetId="8" hidden="1">'Trial and Error'!$S$31</definedName>
    <definedName name="solver_rhs7" localSheetId="3" hidden="1">'Kebutuhan Nutrient'!#REF!</definedName>
    <definedName name="solver_rhs7" localSheetId="5" hidden="1">Penggemukan!$T$32</definedName>
    <definedName name="solver_rhs7" localSheetId="4" hidden="1">RANSUM!$T$32</definedName>
    <definedName name="solver_rhs7" localSheetId="6" hidden="1">'Sapi Induk'!$T$32</definedName>
    <definedName name="solver_rhs7" localSheetId="7" hidden="1">'Sapi Pertumbuhan'!$T$32</definedName>
    <definedName name="solver_rhs7" localSheetId="8" hidden="1">'Trial and Error'!$T$32</definedName>
    <definedName name="solver_rhs8" localSheetId="3" hidden="1">'Kebutuhan Nutrient'!#REF!</definedName>
    <definedName name="solver_rhs8" localSheetId="5" hidden="1">Penggemukan!$S$32</definedName>
    <definedName name="solver_rhs8" localSheetId="4" hidden="1">RANSUM!$S$32</definedName>
    <definedName name="solver_rhs8" localSheetId="6" hidden="1">'Sapi Induk'!$S$32</definedName>
    <definedName name="solver_rhs8" localSheetId="7" hidden="1">'Sapi Pertumbuhan'!$S$32</definedName>
    <definedName name="solver_rhs8" localSheetId="8" hidden="1">'Trial and Error'!$S$32</definedName>
    <definedName name="solver_rhs9" localSheetId="3" hidden="1">'Kebutuhan Nutrient'!#REF!</definedName>
    <definedName name="solver_rhs9" localSheetId="5" hidden="1">Penggemukan!$T$33</definedName>
    <definedName name="solver_rhs9" localSheetId="4" hidden="1">RANSUM!$T$33</definedName>
    <definedName name="solver_rhs9" localSheetId="6" hidden="1">'Sapi Induk'!$T$33</definedName>
    <definedName name="solver_rhs9" localSheetId="7" hidden="1">'Sapi Pertumbuhan'!$T$33</definedName>
    <definedName name="solver_rhs9" localSheetId="8" hidden="1">'Trial and Error'!$T$33</definedName>
    <definedName name="solver_rlx" localSheetId="0" hidden="1">2</definedName>
    <definedName name="solver_rlx" localSheetId="3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sd" localSheetId="0" hidden="1">0</definedName>
    <definedName name="solver_rsd" localSheetId="3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scl" localSheetId="0" hidden="1">1</definedName>
    <definedName name="solver_scl" localSheetId="3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ho" localSheetId="0" hidden="1">2</definedName>
    <definedName name="solver_sho" localSheetId="3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sz" localSheetId="0" hidden="1">100</definedName>
    <definedName name="solver_ssz" localSheetId="3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tim" localSheetId="0" hidden="1">2147483647</definedName>
    <definedName name="solver_tim" localSheetId="3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ol" localSheetId="0" hidden="1">0.01</definedName>
    <definedName name="solver_tol" localSheetId="3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yp" localSheetId="0" hidden="1">1</definedName>
    <definedName name="solver_typ" localSheetId="3" hidden="1">2</definedName>
    <definedName name="solver_typ" localSheetId="5" hidden="1">2</definedName>
    <definedName name="solver_typ" localSheetId="4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val" localSheetId="0" hidden="1">0</definedName>
    <definedName name="solver_val" localSheetId="3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er" localSheetId="0" hidden="1">3</definedName>
    <definedName name="solver_ver" localSheetId="3" hidden="1">3</definedName>
    <definedName name="solver_ver" localSheetId="5" hidden="1">3</definedName>
    <definedName name="solver_ver" localSheetId="4" hidden="1">3</definedName>
    <definedName name="solver_ver" localSheetId="6" hidden="1">3</definedName>
    <definedName name="solver_ver" localSheetId="7" hidden="1">3</definedName>
    <definedName name="solver_ver" localSheetId="8" hidden="1">3</definedName>
  </definedNames>
  <calcPr calcId="145621"/>
</workbook>
</file>

<file path=xl/calcChain.xml><?xml version="1.0" encoding="utf-8"?>
<calcChain xmlns="http://schemas.openxmlformats.org/spreadsheetml/2006/main">
  <c r="O46" i="51" l="1"/>
  <c r="N46" i="51"/>
  <c r="M46" i="51"/>
  <c r="K46" i="51"/>
  <c r="J46" i="51"/>
  <c r="I46" i="51"/>
  <c r="E45" i="51"/>
  <c r="G22" i="51" s="1"/>
  <c r="O44" i="51"/>
  <c r="N44" i="51"/>
  <c r="M44" i="51"/>
  <c r="J44" i="51"/>
  <c r="I44" i="51"/>
  <c r="G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G21" i="51"/>
  <c r="B21" i="51"/>
  <c r="B43" i="51" s="1"/>
  <c r="G20" i="51"/>
  <c r="F20" i="51"/>
  <c r="T42" i="51" s="1"/>
  <c r="B20" i="51"/>
  <c r="Q20" i="51" s="1"/>
  <c r="O42" i="51" s="1"/>
  <c r="G19" i="51"/>
  <c r="B19" i="51"/>
  <c r="L19" i="51" s="1"/>
  <c r="J41" i="51" s="1"/>
  <c r="N18" i="51"/>
  <c r="L40" i="51" s="1"/>
  <c r="J18" i="51"/>
  <c r="H40" i="51" s="1"/>
  <c r="G18" i="51"/>
  <c r="F18" i="51"/>
  <c r="T40" i="51" s="1"/>
  <c r="B18" i="51"/>
  <c r="Q18" i="51" s="1"/>
  <c r="O40" i="51" s="1"/>
  <c r="V17" i="51"/>
  <c r="Q17" i="51"/>
  <c r="O39" i="51" s="1"/>
  <c r="O17" i="51"/>
  <c r="M39" i="51" s="1"/>
  <c r="M17" i="51"/>
  <c r="K39" i="51" s="1"/>
  <c r="I17" i="51"/>
  <c r="G39" i="51" s="1"/>
  <c r="G17" i="51"/>
  <c r="E17" i="51"/>
  <c r="S39" i="51" s="1"/>
  <c r="B17" i="51"/>
  <c r="B39" i="51" s="1"/>
  <c r="G16" i="51"/>
  <c r="B16" i="51"/>
  <c r="P16" i="51" s="1"/>
  <c r="N38" i="51" s="1"/>
  <c r="G15" i="51"/>
  <c r="B15" i="51"/>
  <c r="B37" i="51" s="1"/>
  <c r="N14" i="51"/>
  <c r="L36" i="51" s="1"/>
  <c r="G14" i="51"/>
  <c r="B14" i="51"/>
  <c r="L14" i="51" s="1"/>
  <c r="J36" i="51" s="1"/>
  <c r="G13" i="51"/>
  <c r="B13" i="51"/>
  <c r="G12" i="51"/>
  <c r="B12" i="51"/>
  <c r="K12" i="51" s="1"/>
  <c r="I34" i="51" s="1"/>
  <c r="G11" i="51"/>
  <c r="B11" i="51"/>
  <c r="B33" i="51" s="1"/>
  <c r="G10" i="51"/>
  <c r="B10" i="51"/>
  <c r="B32" i="51" s="1"/>
  <c r="G9" i="51"/>
  <c r="B9" i="51"/>
  <c r="B31" i="51" s="1"/>
  <c r="G8" i="51"/>
  <c r="B8" i="51"/>
  <c r="B30" i="51" s="1"/>
  <c r="G7" i="51"/>
  <c r="B7" i="51"/>
  <c r="B29" i="51" s="1"/>
  <c r="K17" i="51" l="1"/>
  <c r="I39" i="51" s="1"/>
  <c r="E15" i="51"/>
  <c r="S37" i="51" s="1"/>
  <c r="J15" i="51"/>
  <c r="H37" i="51" s="1"/>
  <c r="Q15" i="51"/>
  <c r="O37" i="51" s="1"/>
  <c r="F15" i="51"/>
  <c r="T37" i="51" s="1"/>
  <c r="K15" i="51"/>
  <c r="I37" i="51" s="1"/>
  <c r="M15" i="51"/>
  <c r="K37" i="51" s="1"/>
  <c r="I15" i="51"/>
  <c r="G37" i="51" s="1"/>
  <c r="O15" i="51"/>
  <c r="M37" i="51" s="1"/>
  <c r="I14" i="51"/>
  <c r="G36" i="51" s="1"/>
  <c r="P14" i="51"/>
  <c r="N36" i="51" s="1"/>
  <c r="E14" i="51"/>
  <c r="S36" i="51" s="1"/>
  <c r="J14" i="51"/>
  <c r="H36" i="51" s="1"/>
  <c r="Q14" i="51"/>
  <c r="O36" i="51" s="1"/>
  <c r="F14" i="51"/>
  <c r="T36" i="51" s="1"/>
  <c r="I12" i="51"/>
  <c r="G34" i="51" s="1"/>
  <c r="O12" i="51"/>
  <c r="M34" i="51" s="1"/>
  <c r="E12" i="51"/>
  <c r="S34" i="51" s="1"/>
  <c r="J12" i="51"/>
  <c r="H34" i="51" s="1"/>
  <c r="P12" i="51"/>
  <c r="N34" i="51" s="1"/>
  <c r="N12" i="51"/>
  <c r="L34" i="51" s="1"/>
  <c r="F12" i="51"/>
  <c r="T34" i="51" s="1"/>
  <c r="K10" i="51"/>
  <c r="I32" i="51" s="1"/>
  <c r="O10" i="51"/>
  <c r="M32" i="51" s="1"/>
  <c r="J9" i="51"/>
  <c r="H31" i="51" s="1"/>
  <c r="K9" i="51"/>
  <c r="I31" i="51" s="1"/>
  <c r="F9" i="51"/>
  <c r="T31" i="51" s="1"/>
  <c r="N9" i="51"/>
  <c r="L31" i="51" s="1"/>
  <c r="O9" i="51"/>
  <c r="M31" i="51" s="1"/>
  <c r="I8" i="51"/>
  <c r="G30" i="51" s="1"/>
  <c r="N8" i="51"/>
  <c r="L30" i="51" s="1"/>
  <c r="E8" i="51"/>
  <c r="S30" i="51" s="1"/>
  <c r="J8" i="51"/>
  <c r="H30" i="51" s="1"/>
  <c r="O8" i="51"/>
  <c r="M30" i="51" s="1"/>
  <c r="M8" i="51"/>
  <c r="K30" i="51" s="1"/>
  <c r="F8" i="51"/>
  <c r="T30" i="51" s="1"/>
  <c r="K8" i="51"/>
  <c r="I30" i="51" s="1"/>
  <c r="Q8" i="51"/>
  <c r="O30" i="51" s="1"/>
  <c r="H11" i="51"/>
  <c r="F33" i="51" s="1"/>
  <c r="L11" i="51"/>
  <c r="J33" i="51" s="1"/>
  <c r="P11" i="51"/>
  <c r="N33" i="51" s="1"/>
  <c r="B35" i="51"/>
  <c r="N13" i="51"/>
  <c r="L35" i="51" s="1"/>
  <c r="J13" i="51"/>
  <c r="H35" i="51" s="1"/>
  <c r="F13" i="51"/>
  <c r="T35" i="51" s="1"/>
  <c r="I13" i="51"/>
  <c r="G35" i="51" s="1"/>
  <c r="O13" i="51"/>
  <c r="M35" i="51" s="1"/>
  <c r="N16" i="51"/>
  <c r="L38" i="51" s="1"/>
  <c r="H7" i="51"/>
  <c r="F29" i="51" s="1"/>
  <c r="L7" i="51"/>
  <c r="J29" i="51" s="1"/>
  <c r="P7" i="51"/>
  <c r="N29" i="51" s="1"/>
  <c r="M7" i="51"/>
  <c r="K29" i="51" s="1"/>
  <c r="L10" i="51"/>
  <c r="J32" i="51" s="1"/>
  <c r="E11" i="51"/>
  <c r="S33" i="51" s="1"/>
  <c r="E13" i="51"/>
  <c r="S35" i="51" s="1"/>
  <c r="K13" i="51"/>
  <c r="I35" i="51" s="1"/>
  <c r="P13" i="51"/>
  <c r="N35" i="51" s="1"/>
  <c r="H16" i="51"/>
  <c r="F38" i="51" s="1"/>
  <c r="B41" i="51"/>
  <c r="O19" i="51"/>
  <c r="M41" i="51" s="1"/>
  <c r="K19" i="51"/>
  <c r="I41" i="51" s="1"/>
  <c r="N19" i="51"/>
  <c r="L41" i="51" s="1"/>
  <c r="J19" i="51"/>
  <c r="H41" i="51" s="1"/>
  <c r="F19" i="51"/>
  <c r="T41" i="51" s="1"/>
  <c r="Q19" i="51"/>
  <c r="O41" i="51" s="1"/>
  <c r="M19" i="51"/>
  <c r="K41" i="51" s="1"/>
  <c r="I19" i="51"/>
  <c r="G41" i="51" s="1"/>
  <c r="E19" i="51"/>
  <c r="S41" i="51" s="1"/>
  <c r="P19" i="51"/>
  <c r="N41" i="51" s="1"/>
  <c r="F7" i="51"/>
  <c r="T29" i="51" s="1"/>
  <c r="J7" i="51"/>
  <c r="H29" i="51" s="1"/>
  <c r="N7" i="51"/>
  <c r="L29" i="51" s="1"/>
  <c r="L9" i="51"/>
  <c r="J31" i="51" s="1"/>
  <c r="E10" i="51"/>
  <c r="S32" i="51" s="1"/>
  <c r="Q10" i="51"/>
  <c r="O32" i="51" s="1"/>
  <c r="J11" i="51"/>
  <c r="H33" i="51" s="1"/>
  <c r="L13" i="51"/>
  <c r="J35" i="51" s="1"/>
  <c r="Q13" i="51"/>
  <c r="O35" i="51" s="1"/>
  <c r="O16" i="51"/>
  <c r="M38" i="51" s="1"/>
  <c r="K16" i="51"/>
  <c r="I38" i="51" s="1"/>
  <c r="B38" i="51"/>
  <c r="Q16" i="51"/>
  <c r="O38" i="51" s="1"/>
  <c r="M16" i="51"/>
  <c r="K38" i="51" s="1"/>
  <c r="I16" i="51"/>
  <c r="G38" i="51" s="1"/>
  <c r="E16" i="51"/>
  <c r="S38" i="51" s="1"/>
  <c r="J16" i="51"/>
  <c r="H38" i="51" s="1"/>
  <c r="E7" i="51"/>
  <c r="S29" i="51" s="1"/>
  <c r="I7" i="51"/>
  <c r="G29" i="51" s="1"/>
  <c r="Q7" i="51"/>
  <c r="O29" i="51" s="1"/>
  <c r="H10" i="51"/>
  <c r="F32" i="51" s="1"/>
  <c r="P10" i="51"/>
  <c r="N32" i="51" s="1"/>
  <c r="I11" i="51"/>
  <c r="G33" i="51" s="1"/>
  <c r="M11" i="51"/>
  <c r="K33" i="51" s="1"/>
  <c r="Q11" i="51"/>
  <c r="O33" i="51" s="1"/>
  <c r="H9" i="51"/>
  <c r="F31" i="51" s="1"/>
  <c r="P9" i="51"/>
  <c r="N31" i="51" s="1"/>
  <c r="I10" i="51"/>
  <c r="G32" i="51" s="1"/>
  <c r="M10" i="51"/>
  <c r="K32" i="51" s="1"/>
  <c r="F11" i="51"/>
  <c r="T33" i="51" s="1"/>
  <c r="N11" i="51"/>
  <c r="L33" i="51" s="1"/>
  <c r="K7" i="51"/>
  <c r="I29" i="51" s="1"/>
  <c r="O7" i="51"/>
  <c r="M29" i="51" s="1"/>
  <c r="H8" i="51"/>
  <c r="F30" i="51" s="1"/>
  <c r="L8" i="51"/>
  <c r="J30" i="51" s="1"/>
  <c r="P8" i="51"/>
  <c r="N30" i="51" s="1"/>
  <c r="E9" i="51"/>
  <c r="S31" i="51" s="1"/>
  <c r="I9" i="51"/>
  <c r="G31" i="51" s="1"/>
  <c r="M9" i="51"/>
  <c r="K31" i="51" s="1"/>
  <c r="Q9" i="51"/>
  <c r="O31" i="51" s="1"/>
  <c r="F10" i="51"/>
  <c r="T32" i="51" s="1"/>
  <c r="J10" i="51"/>
  <c r="H32" i="51" s="1"/>
  <c r="N10" i="51"/>
  <c r="L32" i="51" s="1"/>
  <c r="K11" i="51"/>
  <c r="I33" i="51" s="1"/>
  <c r="O11" i="51"/>
  <c r="M33" i="51" s="1"/>
  <c r="B34" i="51"/>
  <c r="Q12" i="51"/>
  <c r="O34" i="51" s="1"/>
  <c r="M12" i="51"/>
  <c r="K34" i="51" s="1"/>
  <c r="H12" i="51"/>
  <c r="F34" i="51" s="1"/>
  <c r="L12" i="51"/>
  <c r="J34" i="51" s="1"/>
  <c r="H13" i="51"/>
  <c r="F35" i="51" s="1"/>
  <c r="M13" i="51"/>
  <c r="K35" i="51" s="1"/>
  <c r="B36" i="51"/>
  <c r="O14" i="51"/>
  <c r="M36" i="51" s="1"/>
  <c r="K14" i="51"/>
  <c r="I36" i="51" s="1"/>
  <c r="H14" i="51"/>
  <c r="F36" i="51" s="1"/>
  <c r="M14" i="51"/>
  <c r="K36" i="51" s="1"/>
  <c r="F16" i="51"/>
  <c r="T38" i="51" s="1"/>
  <c r="L16" i="51"/>
  <c r="J38" i="51" s="1"/>
  <c r="H19" i="51"/>
  <c r="F41" i="51" s="1"/>
  <c r="J20" i="51"/>
  <c r="H42" i="51" s="1"/>
  <c r="N20" i="51"/>
  <c r="L42" i="51" s="1"/>
  <c r="H21" i="51"/>
  <c r="F43" i="51" s="1"/>
  <c r="L21" i="51"/>
  <c r="J43" i="51" s="1"/>
  <c r="P21" i="51"/>
  <c r="N43" i="51" s="1"/>
  <c r="H15" i="51"/>
  <c r="F37" i="51" s="1"/>
  <c r="L15" i="51"/>
  <c r="J37" i="51" s="1"/>
  <c r="P15" i="51"/>
  <c r="N37" i="51" s="1"/>
  <c r="F17" i="51"/>
  <c r="T39" i="51" s="1"/>
  <c r="J17" i="51"/>
  <c r="H39" i="51" s="1"/>
  <c r="N17" i="51"/>
  <c r="L39" i="51" s="1"/>
  <c r="K18" i="51"/>
  <c r="I40" i="51" s="1"/>
  <c r="O18" i="51"/>
  <c r="M40" i="51" s="1"/>
  <c r="K20" i="51"/>
  <c r="I42" i="51" s="1"/>
  <c r="O20" i="51"/>
  <c r="M42" i="51" s="1"/>
  <c r="E21" i="51"/>
  <c r="S43" i="51" s="1"/>
  <c r="I21" i="51"/>
  <c r="G43" i="51" s="1"/>
  <c r="M21" i="51"/>
  <c r="K43" i="51" s="1"/>
  <c r="Q21" i="51"/>
  <c r="O43" i="51" s="1"/>
  <c r="B40" i="51"/>
  <c r="B42" i="51"/>
  <c r="H18" i="51"/>
  <c r="F40" i="51" s="1"/>
  <c r="L18" i="51"/>
  <c r="J40" i="51" s="1"/>
  <c r="P18" i="51"/>
  <c r="N40" i="51" s="1"/>
  <c r="H20" i="51"/>
  <c r="F42" i="51" s="1"/>
  <c r="L20" i="51"/>
  <c r="J42" i="51" s="1"/>
  <c r="P20" i="51"/>
  <c r="N42" i="51" s="1"/>
  <c r="F21" i="51"/>
  <c r="T43" i="51" s="1"/>
  <c r="J21" i="51"/>
  <c r="H43" i="51" s="1"/>
  <c r="N21" i="51"/>
  <c r="L43" i="51" s="1"/>
  <c r="N15" i="51"/>
  <c r="L37" i="51" s="1"/>
  <c r="H17" i="51"/>
  <c r="F39" i="51" s="1"/>
  <c r="L17" i="51"/>
  <c r="J39" i="51" s="1"/>
  <c r="P17" i="51"/>
  <c r="N39" i="51" s="1"/>
  <c r="E18" i="51"/>
  <c r="S40" i="51" s="1"/>
  <c r="I18" i="51"/>
  <c r="G40" i="51" s="1"/>
  <c r="M18" i="51"/>
  <c r="K40" i="51" s="1"/>
  <c r="E20" i="51"/>
  <c r="S42" i="51" s="1"/>
  <c r="I20" i="51"/>
  <c r="G42" i="51" s="1"/>
  <c r="M20" i="51"/>
  <c r="K42" i="51" s="1"/>
  <c r="K21" i="51"/>
  <c r="I43" i="51" s="1"/>
  <c r="O21" i="51"/>
  <c r="M43" i="51" s="1"/>
  <c r="F9" i="50"/>
  <c r="F8" i="50"/>
  <c r="F7" i="50"/>
  <c r="E9" i="50"/>
  <c r="E8" i="50"/>
  <c r="E7" i="50"/>
  <c r="O46" i="50"/>
  <c r="N46" i="50"/>
  <c r="M46" i="50"/>
  <c r="K46" i="50"/>
  <c r="J46" i="50"/>
  <c r="I46" i="50"/>
  <c r="E45" i="50"/>
  <c r="G22" i="50" s="1"/>
  <c r="O44" i="50"/>
  <c r="N44" i="50"/>
  <c r="M44" i="50"/>
  <c r="J44" i="50"/>
  <c r="I44" i="50"/>
  <c r="G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N21" i="50"/>
  <c r="L43" i="50" s="1"/>
  <c r="J21" i="50"/>
  <c r="H43" i="50" s="1"/>
  <c r="G21" i="50"/>
  <c r="F21" i="50"/>
  <c r="T43" i="50" s="1"/>
  <c r="B21" i="50"/>
  <c r="B43" i="50" s="1"/>
  <c r="G20" i="50"/>
  <c r="B20" i="50"/>
  <c r="P20" i="50" s="1"/>
  <c r="N42" i="50" s="1"/>
  <c r="G19" i="50"/>
  <c r="B19" i="50"/>
  <c r="P19" i="50" s="1"/>
  <c r="N41" i="50" s="1"/>
  <c r="G18" i="50"/>
  <c r="B18" i="50"/>
  <c r="P18" i="50" s="1"/>
  <c r="N40" i="50" s="1"/>
  <c r="V17" i="50"/>
  <c r="Q17" i="50"/>
  <c r="O39" i="50" s="1"/>
  <c r="O17" i="50"/>
  <c r="M39" i="50" s="1"/>
  <c r="I17" i="50"/>
  <c r="G39" i="50" s="1"/>
  <c r="G17" i="50"/>
  <c r="B17" i="50"/>
  <c r="B39" i="50" s="1"/>
  <c r="G16" i="50"/>
  <c r="B16" i="50"/>
  <c r="P16" i="50" s="1"/>
  <c r="N38" i="50" s="1"/>
  <c r="G15" i="50"/>
  <c r="B15" i="50"/>
  <c r="B37" i="50" s="1"/>
  <c r="G14" i="50"/>
  <c r="B14" i="50"/>
  <c r="K14" i="50" s="1"/>
  <c r="I36" i="50" s="1"/>
  <c r="G13" i="50"/>
  <c r="B13" i="50"/>
  <c r="B35" i="50" s="1"/>
  <c r="L12" i="50"/>
  <c r="J34" i="50" s="1"/>
  <c r="G12" i="50"/>
  <c r="B12" i="50"/>
  <c r="F12" i="50" s="1"/>
  <c r="T34" i="50" s="1"/>
  <c r="G11" i="50"/>
  <c r="B11" i="50"/>
  <c r="B33" i="50" s="1"/>
  <c r="G10" i="50"/>
  <c r="B10" i="50"/>
  <c r="B32" i="50" s="1"/>
  <c r="G9" i="50"/>
  <c r="B9" i="50"/>
  <c r="B31" i="50" s="1"/>
  <c r="M8" i="50"/>
  <c r="K30" i="50" s="1"/>
  <c r="G8" i="50"/>
  <c r="B8" i="50"/>
  <c r="B30" i="50" s="1"/>
  <c r="G7" i="50"/>
  <c r="B7" i="50"/>
  <c r="B29" i="50" s="1"/>
  <c r="M45" i="51" l="1"/>
  <c r="Z13" i="51" s="1"/>
  <c r="J45" i="51"/>
  <c r="Z10" i="51" s="1"/>
  <c r="I45" i="51"/>
  <c r="Z9" i="51" s="1"/>
  <c r="O45" i="51"/>
  <c r="Z15" i="51" s="1"/>
  <c r="F45" i="51"/>
  <c r="X16" i="51" s="1"/>
  <c r="G45" i="51"/>
  <c r="Z7" i="51" s="1"/>
  <c r="L45" i="51"/>
  <c r="Z12" i="51" s="1"/>
  <c r="K45" i="51"/>
  <c r="Z11" i="51" s="1"/>
  <c r="H45" i="51"/>
  <c r="Z8" i="51" s="1"/>
  <c r="N45" i="51"/>
  <c r="Z14" i="51" s="1"/>
  <c r="K17" i="50"/>
  <c r="I39" i="50" s="1"/>
  <c r="E17" i="50"/>
  <c r="S39" i="50" s="1"/>
  <c r="M17" i="50"/>
  <c r="K39" i="50" s="1"/>
  <c r="N16" i="50"/>
  <c r="L38" i="50" s="1"/>
  <c r="I15" i="50"/>
  <c r="G37" i="50" s="1"/>
  <c r="Q15" i="50"/>
  <c r="O37" i="50" s="1"/>
  <c r="E15" i="50"/>
  <c r="S37" i="50" s="1"/>
  <c r="M15" i="50"/>
  <c r="K37" i="50" s="1"/>
  <c r="O15" i="50"/>
  <c r="M37" i="50" s="1"/>
  <c r="K15" i="50"/>
  <c r="I37" i="50" s="1"/>
  <c r="F14" i="50"/>
  <c r="I12" i="50"/>
  <c r="G34" i="50" s="1"/>
  <c r="P12" i="50"/>
  <c r="N34" i="50" s="1"/>
  <c r="N12" i="50"/>
  <c r="L34" i="50" s="1"/>
  <c r="J12" i="50"/>
  <c r="H34" i="50" s="1"/>
  <c r="Q12" i="50"/>
  <c r="O34" i="50" s="1"/>
  <c r="E12" i="50"/>
  <c r="S34" i="50" s="1"/>
  <c r="E10" i="50"/>
  <c r="F10" i="50"/>
  <c r="T32" i="50" s="1"/>
  <c r="M11" i="50"/>
  <c r="K33" i="50" s="1"/>
  <c r="E11" i="50"/>
  <c r="S33" i="50" s="1"/>
  <c r="Q11" i="50"/>
  <c r="O33" i="50" s="1"/>
  <c r="F11" i="50"/>
  <c r="T33" i="50" s="1"/>
  <c r="I11" i="50"/>
  <c r="G33" i="50" s="1"/>
  <c r="K9" i="50"/>
  <c r="I31" i="50" s="1"/>
  <c r="T31" i="50"/>
  <c r="N9" i="50"/>
  <c r="L31" i="50" s="1"/>
  <c r="O9" i="50"/>
  <c r="M31" i="50" s="1"/>
  <c r="J9" i="50"/>
  <c r="H31" i="50" s="1"/>
  <c r="P14" i="50"/>
  <c r="N36" i="50" s="1"/>
  <c r="T36" i="50"/>
  <c r="M13" i="50"/>
  <c r="K35" i="50" s="1"/>
  <c r="N13" i="50"/>
  <c r="L35" i="50" s="1"/>
  <c r="E13" i="50"/>
  <c r="S35" i="50" s="1"/>
  <c r="I13" i="50"/>
  <c r="G35" i="50" s="1"/>
  <c r="J13" i="50"/>
  <c r="H35" i="50" s="1"/>
  <c r="O13" i="50"/>
  <c r="M35" i="50" s="1"/>
  <c r="F13" i="50"/>
  <c r="T35" i="50" s="1"/>
  <c r="K13" i="50"/>
  <c r="I35" i="50" s="1"/>
  <c r="Q13" i="50"/>
  <c r="O35" i="50" s="1"/>
  <c r="S30" i="50"/>
  <c r="J8" i="50"/>
  <c r="H30" i="50" s="1"/>
  <c r="O8" i="50"/>
  <c r="M30" i="50" s="1"/>
  <c r="I8" i="50"/>
  <c r="G30" i="50" s="1"/>
  <c r="N8" i="50"/>
  <c r="L30" i="50" s="1"/>
  <c r="T30" i="50"/>
  <c r="K8" i="50"/>
  <c r="I30" i="50" s="1"/>
  <c r="Q8" i="50"/>
  <c r="O30" i="50" s="1"/>
  <c r="H7" i="50"/>
  <c r="F29" i="50" s="1"/>
  <c r="L7" i="50"/>
  <c r="J29" i="50" s="1"/>
  <c r="P7" i="50"/>
  <c r="N29" i="50" s="1"/>
  <c r="K10" i="50"/>
  <c r="I32" i="50" s="1"/>
  <c r="O10" i="50"/>
  <c r="M32" i="50" s="1"/>
  <c r="H11" i="50"/>
  <c r="F33" i="50" s="1"/>
  <c r="L11" i="50"/>
  <c r="J33" i="50" s="1"/>
  <c r="P11" i="50"/>
  <c r="N33" i="50" s="1"/>
  <c r="Q14" i="50"/>
  <c r="O36" i="50" s="1"/>
  <c r="M14" i="50"/>
  <c r="K36" i="50" s="1"/>
  <c r="I14" i="50"/>
  <c r="G36" i="50" s="1"/>
  <c r="E14" i="50"/>
  <c r="S36" i="50" s="1"/>
  <c r="B36" i="50"/>
  <c r="J14" i="50"/>
  <c r="H36" i="50" s="1"/>
  <c r="O14" i="50"/>
  <c r="M36" i="50" s="1"/>
  <c r="F16" i="50"/>
  <c r="T38" i="50" s="1"/>
  <c r="L16" i="50"/>
  <c r="J38" i="50" s="1"/>
  <c r="H18" i="50"/>
  <c r="F40" i="50" s="1"/>
  <c r="H19" i="50"/>
  <c r="F41" i="50" s="1"/>
  <c r="H20" i="50"/>
  <c r="F42" i="50" s="1"/>
  <c r="I7" i="50"/>
  <c r="G29" i="50" s="1"/>
  <c r="H10" i="50"/>
  <c r="F32" i="50" s="1"/>
  <c r="L10" i="50"/>
  <c r="J32" i="50" s="1"/>
  <c r="P10" i="50"/>
  <c r="N32" i="50" s="1"/>
  <c r="Q18" i="50"/>
  <c r="O40" i="50" s="1"/>
  <c r="M18" i="50"/>
  <c r="K40" i="50" s="1"/>
  <c r="I18" i="50"/>
  <c r="G40" i="50" s="1"/>
  <c r="E18" i="50"/>
  <c r="S40" i="50" s="1"/>
  <c r="B40" i="50"/>
  <c r="O18" i="50"/>
  <c r="M40" i="50" s="1"/>
  <c r="K18" i="50"/>
  <c r="I40" i="50" s="1"/>
  <c r="J18" i="50"/>
  <c r="H40" i="50" s="1"/>
  <c r="B41" i="50"/>
  <c r="O19" i="50"/>
  <c r="M41" i="50" s="1"/>
  <c r="K19" i="50"/>
  <c r="I41" i="50" s="1"/>
  <c r="Q19" i="50"/>
  <c r="O41" i="50" s="1"/>
  <c r="M19" i="50"/>
  <c r="K41" i="50" s="1"/>
  <c r="I19" i="50"/>
  <c r="G41" i="50" s="1"/>
  <c r="E19" i="50"/>
  <c r="S41" i="50" s="1"/>
  <c r="J19" i="50"/>
  <c r="H41" i="50" s="1"/>
  <c r="Q20" i="50"/>
  <c r="O42" i="50" s="1"/>
  <c r="M20" i="50"/>
  <c r="K42" i="50" s="1"/>
  <c r="I20" i="50"/>
  <c r="G42" i="50" s="1"/>
  <c r="E20" i="50"/>
  <c r="S42" i="50" s="1"/>
  <c r="B42" i="50"/>
  <c r="O20" i="50"/>
  <c r="M42" i="50" s="1"/>
  <c r="K20" i="50"/>
  <c r="I42" i="50" s="1"/>
  <c r="J20" i="50"/>
  <c r="H42" i="50" s="1"/>
  <c r="S29" i="50"/>
  <c r="Q7" i="50"/>
  <c r="O29" i="50" s="1"/>
  <c r="J7" i="50"/>
  <c r="H29" i="50" s="1"/>
  <c r="N7" i="50"/>
  <c r="L29" i="50" s="1"/>
  <c r="P9" i="50"/>
  <c r="N31" i="50" s="1"/>
  <c r="I10" i="50"/>
  <c r="G32" i="50" s="1"/>
  <c r="Q10" i="50"/>
  <c r="O32" i="50" s="1"/>
  <c r="L14" i="50"/>
  <c r="J36" i="50" s="1"/>
  <c r="H16" i="50"/>
  <c r="F38" i="50" s="1"/>
  <c r="F18" i="50"/>
  <c r="T40" i="50" s="1"/>
  <c r="L18" i="50"/>
  <c r="J40" i="50" s="1"/>
  <c r="F19" i="50"/>
  <c r="T41" i="50" s="1"/>
  <c r="L19" i="50"/>
  <c r="J41" i="50" s="1"/>
  <c r="F20" i="50"/>
  <c r="T42" i="50" s="1"/>
  <c r="L20" i="50"/>
  <c r="J42" i="50" s="1"/>
  <c r="M7" i="50"/>
  <c r="K29" i="50" s="1"/>
  <c r="T29" i="50"/>
  <c r="H9" i="50"/>
  <c r="F31" i="50" s="1"/>
  <c r="L9" i="50"/>
  <c r="J31" i="50" s="1"/>
  <c r="S32" i="50"/>
  <c r="M10" i="50"/>
  <c r="K32" i="50" s="1"/>
  <c r="J11" i="50"/>
  <c r="H33" i="50" s="1"/>
  <c r="N11" i="50"/>
  <c r="L33" i="50" s="1"/>
  <c r="K7" i="50"/>
  <c r="I29" i="50" s="1"/>
  <c r="O7" i="50"/>
  <c r="M29" i="50" s="1"/>
  <c r="H8" i="50"/>
  <c r="F30" i="50" s="1"/>
  <c r="L8" i="50"/>
  <c r="J30" i="50" s="1"/>
  <c r="P8" i="50"/>
  <c r="N30" i="50" s="1"/>
  <c r="S31" i="50"/>
  <c r="I9" i="50"/>
  <c r="G31" i="50" s="1"/>
  <c r="M9" i="50"/>
  <c r="K31" i="50" s="1"/>
  <c r="Q9" i="50"/>
  <c r="O31" i="50" s="1"/>
  <c r="J10" i="50"/>
  <c r="H32" i="50" s="1"/>
  <c r="N10" i="50"/>
  <c r="L32" i="50" s="1"/>
  <c r="K11" i="50"/>
  <c r="I33" i="50" s="1"/>
  <c r="O11" i="50"/>
  <c r="M33" i="50" s="1"/>
  <c r="O12" i="50"/>
  <c r="M34" i="50" s="1"/>
  <c r="K12" i="50"/>
  <c r="I34" i="50" s="1"/>
  <c r="B34" i="50"/>
  <c r="H12" i="50"/>
  <c r="F34" i="50" s="1"/>
  <c r="M12" i="50"/>
  <c r="K34" i="50" s="1"/>
  <c r="H14" i="50"/>
  <c r="F36" i="50" s="1"/>
  <c r="N14" i="50"/>
  <c r="L36" i="50" s="1"/>
  <c r="O16" i="50"/>
  <c r="M38" i="50" s="1"/>
  <c r="K16" i="50"/>
  <c r="I38" i="50" s="1"/>
  <c r="B38" i="50"/>
  <c r="Q16" i="50"/>
  <c r="O38" i="50" s="1"/>
  <c r="M16" i="50"/>
  <c r="K38" i="50" s="1"/>
  <c r="I16" i="50"/>
  <c r="G38" i="50" s="1"/>
  <c r="E16" i="50"/>
  <c r="S38" i="50" s="1"/>
  <c r="J16" i="50"/>
  <c r="H38" i="50" s="1"/>
  <c r="N18" i="50"/>
  <c r="L40" i="50" s="1"/>
  <c r="N19" i="50"/>
  <c r="L41" i="50" s="1"/>
  <c r="N20" i="50"/>
  <c r="L42" i="50" s="1"/>
  <c r="H21" i="50"/>
  <c r="F43" i="50" s="1"/>
  <c r="L21" i="50"/>
  <c r="J43" i="50" s="1"/>
  <c r="P21" i="50"/>
  <c r="N43" i="50" s="1"/>
  <c r="H15" i="50"/>
  <c r="F37" i="50" s="1"/>
  <c r="L15" i="50"/>
  <c r="J37" i="50" s="1"/>
  <c r="P15" i="50"/>
  <c r="N37" i="50" s="1"/>
  <c r="F17" i="50"/>
  <c r="T39" i="50" s="1"/>
  <c r="J17" i="50"/>
  <c r="H39" i="50" s="1"/>
  <c r="N17" i="50"/>
  <c r="L39" i="50" s="1"/>
  <c r="E21" i="50"/>
  <c r="S43" i="50" s="1"/>
  <c r="I21" i="50"/>
  <c r="G43" i="50" s="1"/>
  <c r="M21" i="50"/>
  <c r="K43" i="50" s="1"/>
  <c r="Q21" i="50"/>
  <c r="O43" i="50" s="1"/>
  <c r="H13" i="50"/>
  <c r="F35" i="50" s="1"/>
  <c r="L13" i="50"/>
  <c r="J35" i="50" s="1"/>
  <c r="P13" i="50"/>
  <c r="N35" i="50" s="1"/>
  <c r="F15" i="50"/>
  <c r="T37" i="50" s="1"/>
  <c r="J15" i="50"/>
  <c r="H37" i="50" s="1"/>
  <c r="N15" i="50"/>
  <c r="L37" i="50" s="1"/>
  <c r="H17" i="50"/>
  <c r="F39" i="50" s="1"/>
  <c r="L17" i="50"/>
  <c r="J39" i="50" s="1"/>
  <c r="P17" i="50"/>
  <c r="N39" i="50" s="1"/>
  <c r="K21" i="50"/>
  <c r="I43" i="50" s="1"/>
  <c r="O21" i="50"/>
  <c r="M43" i="50" s="1"/>
  <c r="F10" i="49"/>
  <c r="F9" i="49"/>
  <c r="O46" i="49"/>
  <c r="N46" i="49"/>
  <c r="M46" i="49"/>
  <c r="K46" i="49"/>
  <c r="J46" i="49"/>
  <c r="I46" i="49"/>
  <c r="E45" i="49"/>
  <c r="G22" i="49" s="1"/>
  <c r="O44" i="49"/>
  <c r="N44" i="49"/>
  <c r="M44" i="49"/>
  <c r="J44" i="49"/>
  <c r="I44" i="49"/>
  <c r="G44" i="49"/>
  <c r="D43" i="49"/>
  <c r="D42" i="49"/>
  <c r="O41" i="49"/>
  <c r="G41" i="49"/>
  <c r="D41" i="49"/>
  <c r="D40" i="49"/>
  <c r="O39" i="49"/>
  <c r="D39" i="49"/>
  <c r="D38" i="49"/>
  <c r="D37" i="49"/>
  <c r="D36" i="49"/>
  <c r="D35" i="49"/>
  <c r="D34" i="49"/>
  <c r="D33" i="49"/>
  <c r="D32" i="49"/>
  <c r="D31" i="49"/>
  <c r="D30" i="49"/>
  <c r="D29" i="49"/>
  <c r="Q21" i="49"/>
  <c r="O43" i="49" s="1"/>
  <c r="N21" i="49"/>
  <c r="L43" i="49" s="1"/>
  <c r="M21" i="49"/>
  <c r="K43" i="49" s="1"/>
  <c r="J21" i="49"/>
  <c r="H43" i="49" s="1"/>
  <c r="I21" i="49"/>
  <c r="G43" i="49" s="1"/>
  <c r="G21" i="49"/>
  <c r="F21" i="49"/>
  <c r="T43" i="49" s="1"/>
  <c r="E21" i="49"/>
  <c r="S43" i="49" s="1"/>
  <c r="B21" i="49"/>
  <c r="B43" i="49" s="1"/>
  <c r="O20" i="49"/>
  <c r="M42" i="49" s="1"/>
  <c r="G20" i="49"/>
  <c r="B20" i="49"/>
  <c r="K20" i="49" s="1"/>
  <c r="I42" i="49" s="1"/>
  <c r="Q19" i="49"/>
  <c r="N19" i="49"/>
  <c r="L41" i="49" s="1"/>
  <c r="M19" i="49"/>
  <c r="K41" i="49" s="1"/>
  <c r="J19" i="49"/>
  <c r="H41" i="49" s="1"/>
  <c r="I19" i="49"/>
  <c r="G19" i="49"/>
  <c r="F19" i="49"/>
  <c r="T41" i="49" s="1"/>
  <c r="E19" i="49"/>
  <c r="S41" i="49" s="1"/>
  <c r="B19" i="49"/>
  <c r="B41" i="49" s="1"/>
  <c r="G18" i="49"/>
  <c r="B18" i="49"/>
  <c r="B40" i="49" s="1"/>
  <c r="V17" i="49"/>
  <c r="Q17" i="49"/>
  <c r="O17" i="49"/>
  <c r="M39" i="49" s="1"/>
  <c r="N17" i="49"/>
  <c r="L39" i="49" s="1"/>
  <c r="M17" i="49"/>
  <c r="K39" i="49" s="1"/>
  <c r="K17" i="49"/>
  <c r="I39" i="49" s="1"/>
  <c r="J17" i="49"/>
  <c r="H39" i="49" s="1"/>
  <c r="I17" i="49"/>
  <c r="G39" i="49" s="1"/>
  <c r="G17" i="49"/>
  <c r="F17" i="49"/>
  <c r="T39" i="49" s="1"/>
  <c r="E17" i="49"/>
  <c r="S39" i="49" s="1"/>
  <c r="B17" i="49"/>
  <c r="B39" i="49" s="1"/>
  <c r="P16" i="49"/>
  <c r="N38" i="49" s="1"/>
  <c r="N16" i="49"/>
  <c r="L38" i="49" s="1"/>
  <c r="J16" i="49"/>
  <c r="H38" i="49" s="1"/>
  <c r="I16" i="49"/>
  <c r="G38" i="49" s="1"/>
  <c r="G16" i="49"/>
  <c r="F16" i="49"/>
  <c r="T38" i="49" s="1"/>
  <c r="E16" i="49"/>
  <c r="S38" i="49" s="1"/>
  <c r="B16" i="49"/>
  <c r="Q16" i="49" s="1"/>
  <c r="O38" i="49" s="1"/>
  <c r="P15" i="49"/>
  <c r="N37" i="49" s="1"/>
  <c r="K15" i="49"/>
  <c r="I37" i="49" s="1"/>
  <c r="G15" i="49"/>
  <c r="E15" i="49"/>
  <c r="S37" i="49" s="1"/>
  <c r="B15" i="49"/>
  <c r="M15" i="49" s="1"/>
  <c r="K37" i="49" s="1"/>
  <c r="G14" i="49"/>
  <c r="B14" i="49"/>
  <c r="L14" i="49" s="1"/>
  <c r="J36" i="49" s="1"/>
  <c r="Q13" i="49"/>
  <c r="O35" i="49" s="1"/>
  <c r="O13" i="49"/>
  <c r="M35" i="49" s="1"/>
  <c r="N13" i="49"/>
  <c r="L35" i="49" s="1"/>
  <c r="M13" i="49"/>
  <c r="K35" i="49" s="1"/>
  <c r="K13" i="49"/>
  <c r="I35" i="49" s="1"/>
  <c r="J13" i="49"/>
  <c r="H35" i="49" s="1"/>
  <c r="I13" i="49"/>
  <c r="G35" i="49" s="1"/>
  <c r="G13" i="49"/>
  <c r="F13" i="49"/>
  <c r="T35" i="49" s="1"/>
  <c r="E13" i="49"/>
  <c r="S35" i="49" s="1"/>
  <c r="B13" i="49"/>
  <c r="B35" i="49" s="1"/>
  <c r="Q12" i="49"/>
  <c r="O34" i="49" s="1"/>
  <c r="N12" i="49"/>
  <c r="L34" i="49" s="1"/>
  <c r="L12" i="49"/>
  <c r="J34" i="49" s="1"/>
  <c r="I12" i="49"/>
  <c r="G34" i="49" s="1"/>
  <c r="G12" i="49"/>
  <c r="E12" i="49"/>
  <c r="S34" i="49" s="1"/>
  <c r="B12" i="49"/>
  <c r="B34" i="49" s="1"/>
  <c r="G11" i="49"/>
  <c r="B11" i="49"/>
  <c r="B33" i="49" s="1"/>
  <c r="Q10" i="49"/>
  <c r="O32" i="49" s="1"/>
  <c r="O10" i="49"/>
  <c r="M32" i="49" s="1"/>
  <c r="N10" i="49"/>
  <c r="L32" i="49" s="1"/>
  <c r="M10" i="49"/>
  <c r="K32" i="49" s="1"/>
  <c r="K10" i="49"/>
  <c r="I32" i="49" s="1"/>
  <c r="J10" i="49"/>
  <c r="H32" i="49" s="1"/>
  <c r="I10" i="49"/>
  <c r="G32" i="49" s="1"/>
  <c r="G10" i="49"/>
  <c r="T32" i="49"/>
  <c r="E10" i="49"/>
  <c r="S32" i="49" s="1"/>
  <c r="B10" i="49"/>
  <c r="B32" i="49" s="1"/>
  <c r="N9" i="49"/>
  <c r="L31" i="49" s="1"/>
  <c r="J9" i="49"/>
  <c r="H31" i="49" s="1"/>
  <c r="G9" i="49"/>
  <c r="T31" i="49"/>
  <c r="B9" i="49"/>
  <c r="B31" i="49" s="1"/>
  <c r="Q8" i="49"/>
  <c r="O30" i="49" s="1"/>
  <c r="O8" i="49"/>
  <c r="M30" i="49" s="1"/>
  <c r="M8" i="49"/>
  <c r="K30" i="49" s="1"/>
  <c r="K8" i="49"/>
  <c r="I30" i="49" s="1"/>
  <c r="I8" i="49"/>
  <c r="G30" i="49" s="1"/>
  <c r="G8" i="49"/>
  <c r="E8" i="49"/>
  <c r="S30" i="49" s="1"/>
  <c r="B8" i="49"/>
  <c r="B30" i="49" s="1"/>
  <c r="G7" i="49"/>
  <c r="B7" i="49"/>
  <c r="B29" i="49" s="1"/>
  <c r="E8" i="22"/>
  <c r="K45" i="50" l="1"/>
  <c r="Z11" i="50" s="1"/>
  <c r="L45" i="50"/>
  <c r="Z12" i="50" s="1"/>
  <c r="H45" i="50"/>
  <c r="Z8" i="50" s="1"/>
  <c r="N45" i="50"/>
  <c r="Z14" i="50" s="1"/>
  <c r="M45" i="50"/>
  <c r="Z13" i="50" s="1"/>
  <c r="O45" i="50"/>
  <c r="Z15" i="50" s="1"/>
  <c r="J45" i="50"/>
  <c r="Z10" i="50" s="1"/>
  <c r="I45" i="50"/>
  <c r="Z9" i="50" s="1"/>
  <c r="G45" i="50"/>
  <c r="Z7" i="50" s="1"/>
  <c r="F45" i="50"/>
  <c r="X16" i="50" s="1"/>
  <c r="O18" i="49"/>
  <c r="M40" i="49" s="1"/>
  <c r="J14" i="49"/>
  <c r="H36" i="49" s="1"/>
  <c r="B36" i="49"/>
  <c r="E7" i="49"/>
  <c r="S29" i="49" s="1"/>
  <c r="I7" i="49"/>
  <c r="G29" i="49" s="1"/>
  <c r="M7" i="49"/>
  <c r="K29" i="49" s="1"/>
  <c r="Q7" i="49"/>
  <c r="O29" i="49" s="1"/>
  <c r="F8" i="49"/>
  <c r="T30" i="49" s="1"/>
  <c r="J8" i="49"/>
  <c r="H30" i="49" s="1"/>
  <c r="N8" i="49"/>
  <c r="L30" i="49" s="1"/>
  <c r="K9" i="49"/>
  <c r="I31" i="49" s="1"/>
  <c r="O9" i="49"/>
  <c r="M31" i="49" s="1"/>
  <c r="H10" i="49"/>
  <c r="F32" i="49" s="1"/>
  <c r="L10" i="49"/>
  <c r="J32" i="49" s="1"/>
  <c r="P10" i="49"/>
  <c r="N32" i="49" s="1"/>
  <c r="E11" i="49"/>
  <c r="S33" i="49" s="1"/>
  <c r="I11" i="49"/>
  <c r="G33" i="49" s="1"/>
  <c r="M11" i="49"/>
  <c r="K33" i="49" s="1"/>
  <c r="Q11" i="49"/>
  <c r="O33" i="49" s="1"/>
  <c r="F12" i="49"/>
  <c r="T34" i="49" s="1"/>
  <c r="J12" i="49"/>
  <c r="H34" i="49" s="1"/>
  <c r="P12" i="49"/>
  <c r="N34" i="49" s="1"/>
  <c r="F14" i="49"/>
  <c r="T36" i="49" s="1"/>
  <c r="K14" i="49"/>
  <c r="I36" i="49" s="1"/>
  <c r="P14" i="49"/>
  <c r="N36" i="49" s="1"/>
  <c r="L15" i="49"/>
  <c r="J37" i="49" s="1"/>
  <c r="Q15" i="49"/>
  <c r="O37" i="49" s="1"/>
  <c r="L16" i="49"/>
  <c r="J38" i="49" s="1"/>
  <c r="H18" i="49"/>
  <c r="F40" i="49" s="1"/>
  <c r="P18" i="49"/>
  <c r="N40" i="49" s="1"/>
  <c r="H20" i="49"/>
  <c r="F42" i="49" s="1"/>
  <c r="P20" i="49"/>
  <c r="N42" i="49" s="1"/>
  <c r="B42" i="49"/>
  <c r="H15" i="49"/>
  <c r="F37" i="49" s="1"/>
  <c r="O16" i="49"/>
  <c r="M38" i="49" s="1"/>
  <c r="K16" i="49"/>
  <c r="I38" i="49" s="1"/>
  <c r="H16" i="49"/>
  <c r="F38" i="49" s="1"/>
  <c r="M16" i="49"/>
  <c r="K38" i="49" s="1"/>
  <c r="K18" i="49"/>
  <c r="I40" i="49" s="1"/>
  <c r="H7" i="49"/>
  <c r="F29" i="49" s="1"/>
  <c r="L7" i="49"/>
  <c r="J29" i="49" s="1"/>
  <c r="P7" i="49"/>
  <c r="N29" i="49" s="1"/>
  <c r="H11" i="49"/>
  <c r="F33" i="49" s="1"/>
  <c r="L11" i="49"/>
  <c r="J33" i="49" s="1"/>
  <c r="P11" i="49"/>
  <c r="N33" i="49" s="1"/>
  <c r="Q14" i="49"/>
  <c r="O36" i="49" s="1"/>
  <c r="M14" i="49"/>
  <c r="K36" i="49" s="1"/>
  <c r="I14" i="49"/>
  <c r="G36" i="49" s="1"/>
  <c r="E14" i="49"/>
  <c r="S36" i="49" s="1"/>
  <c r="O14" i="49"/>
  <c r="M36" i="49" s="1"/>
  <c r="F7" i="49"/>
  <c r="T29" i="49" s="1"/>
  <c r="J7" i="49"/>
  <c r="H29" i="49" s="1"/>
  <c r="N7" i="49"/>
  <c r="L29" i="49" s="1"/>
  <c r="H9" i="49"/>
  <c r="F31" i="49" s="1"/>
  <c r="L9" i="49"/>
  <c r="J31" i="49" s="1"/>
  <c r="P9" i="49"/>
  <c r="N31" i="49" s="1"/>
  <c r="F11" i="49"/>
  <c r="T33" i="49" s="1"/>
  <c r="J11" i="49"/>
  <c r="H33" i="49" s="1"/>
  <c r="N11" i="49"/>
  <c r="L33" i="49" s="1"/>
  <c r="K7" i="49"/>
  <c r="I29" i="49" s="1"/>
  <c r="O7" i="49"/>
  <c r="M29" i="49" s="1"/>
  <c r="H8" i="49"/>
  <c r="F30" i="49" s="1"/>
  <c r="L8" i="49"/>
  <c r="J30" i="49" s="1"/>
  <c r="P8" i="49"/>
  <c r="N30" i="49" s="1"/>
  <c r="E9" i="49"/>
  <c r="S31" i="49" s="1"/>
  <c r="I9" i="49"/>
  <c r="G31" i="49" s="1"/>
  <c r="M9" i="49"/>
  <c r="K31" i="49" s="1"/>
  <c r="Q9" i="49"/>
  <c r="O31" i="49" s="1"/>
  <c r="K11" i="49"/>
  <c r="I33" i="49" s="1"/>
  <c r="O11" i="49"/>
  <c r="M33" i="49" s="1"/>
  <c r="O12" i="49"/>
  <c r="M34" i="49" s="1"/>
  <c r="K12" i="49"/>
  <c r="I34" i="49" s="1"/>
  <c r="H12" i="49"/>
  <c r="F34" i="49" s="1"/>
  <c r="M12" i="49"/>
  <c r="K34" i="49" s="1"/>
  <c r="H14" i="49"/>
  <c r="F36" i="49" s="1"/>
  <c r="N14" i="49"/>
  <c r="L36" i="49" s="1"/>
  <c r="B37" i="49"/>
  <c r="N15" i="49"/>
  <c r="L37" i="49" s="1"/>
  <c r="J15" i="49"/>
  <c r="H37" i="49" s="1"/>
  <c r="F15" i="49"/>
  <c r="T37" i="49" s="1"/>
  <c r="I15" i="49"/>
  <c r="G37" i="49" s="1"/>
  <c r="O15" i="49"/>
  <c r="M37" i="49" s="1"/>
  <c r="Q18" i="49"/>
  <c r="O40" i="49" s="1"/>
  <c r="M18" i="49"/>
  <c r="K40" i="49" s="1"/>
  <c r="I18" i="49"/>
  <c r="G40" i="49" s="1"/>
  <c r="E18" i="49"/>
  <c r="S40" i="49" s="1"/>
  <c r="N18" i="49"/>
  <c r="L40" i="49" s="1"/>
  <c r="J18" i="49"/>
  <c r="H40" i="49" s="1"/>
  <c r="F18" i="49"/>
  <c r="T40" i="49" s="1"/>
  <c r="L18" i="49"/>
  <c r="J40" i="49" s="1"/>
  <c r="Q20" i="49"/>
  <c r="O42" i="49" s="1"/>
  <c r="M20" i="49"/>
  <c r="K42" i="49" s="1"/>
  <c r="I20" i="49"/>
  <c r="G42" i="49" s="1"/>
  <c r="E20" i="49"/>
  <c r="S42" i="49" s="1"/>
  <c r="N20" i="49"/>
  <c r="L42" i="49" s="1"/>
  <c r="J20" i="49"/>
  <c r="H42" i="49" s="1"/>
  <c r="F20" i="49"/>
  <c r="T42" i="49" s="1"/>
  <c r="L20" i="49"/>
  <c r="J42" i="49" s="1"/>
  <c r="B38" i="49"/>
  <c r="H19" i="49"/>
  <c r="F41" i="49" s="1"/>
  <c r="L19" i="49"/>
  <c r="J41" i="49" s="1"/>
  <c r="P19" i="49"/>
  <c r="N41" i="49" s="1"/>
  <c r="H21" i="49"/>
  <c r="F43" i="49" s="1"/>
  <c r="L21" i="49"/>
  <c r="J43" i="49" s="1"/>
  <c r="P21" i="49"/>
  <c r="N43" i="49" s="1"/>
  <c r="H13" i="49"/>
  <c r="F35" i="49" s="1"/>
  <c r="L13" i="49"/>
  <c r="J35" i="49" s="1"/>
  <c r="P13" i="49"/>
  <c r="N35" i="49" s="1"/>
  <c r="H17" i="49"/>
  <c r="F39" i="49" s="1"/>
  <c r="L17" i="49"/>
  <c r="J39" i="49" s="1"/>
  <c r="P17" i="49"/>
  <c r="N39" i="49" s="1"/>
  <c r="K19" i="49"/>
  <c r="I41" i="49" s="1"/>
  <c r="O19" i="49"/>
  <c r="M41" i="49" s="1"/>
  <c r="K21" i="49"/>
  <c r="I43" i="49" s="1"/>
  <c r="O21" i="49"/>
  <c r="M43" i="49" s="1"/>
  <c r="L45" i="49" l="1"/>
  <c r="Z12" i="49" s="1"/>
  <c r="M45" i="49"/>
  <c r="Z13" i="49" s="1"/>
  <c r="G45" i="49"/>
  <c r="Z7" i="49" s="1"/>
  <c r="I45" i="49"/>
  <c r="Z9" i="49" s="1"/>
  <c r="H45" i="49"/>
  <c r="Z8" i="49" s="1"/>
  <c r="F45" i="49"/>
  <c r="X16" i="49" s="1"/>
  <c r="O45" i="49"/>
  <c r="Z15" i="49" s="1"/>
  <c r="J45" i="49"/>
  <c r="Z10" i="49" s="1"/>
  <c r="N45" i="49"/>
  <c r="Z14" i="49" s="1"/>
  <c r="K45" i="49"/>
  <c r="Z11" i="49" s="1"/>
  <c r="O46" i="22" l="1"/>
  <c r="O44" i="22"/>
  <c r="J46" i="22"/>
  <c r="R46" i="48" l="1"/>
  <c r="Q46" i="48"/>
  <c r="P46" i="48"/>
  <c r="N46" i="48"/>
  <c r="M46" i="48"/>
  <c r="K46" i="48"/>
  <c r="I46" i="48"/>
  <c r="E45" i="48"/>
  <c r="G22" i="48" s="1"/>
  <c r="R44" i="48"/>
  <c r="Q44" i="48"/>
  <c r="P44" i="48"/>
  <c r="N44" i="48"/>
  <c r="M44" i="48"/>
  <c r="J44" i="48"/>
  <c r="I44" i="48"/>
  <c r="G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B21" i="48"/>
  <c r="Q21" i="48" s="1"/>
  <c r="O43" i="48" s="1"/>
  <c r="V17" i="48"/>
  <c r="B20" i="48"/>
  <c r="S20" i="48" s="1"/>
  <c r="Q42" i="48" s="1"/>
  <c r="B19" i="48"/>
  <c r="S19" i="48" s="1"/>
  <c r="Q41" i="48" s="1"/>
  <c r="B18" i="48"/>
  <c r="Q18" i="48" s="1"/>
  <c r="O40" i="48" s="1"/>
  <c r="B17" i="48"/>
  <c r="S17" i="48" s="1"/>
  <c r="Q39" i="48" s="1"/>
  <c r="B16" i="48"/>
  <c r="B15" i="48"/>
  <c r="N15" i="48" s="1"/>
  <c r="L37" i="48" s="1"/>
  <c r="B14" i="48"/>
  <c r="S14" i="48" s="1"/>
  <c r="Q36" i="48" s="1"/>
  <c r="B13" i="48"/>
  <c r="N13" i="48" s="1"/>
  <c r="L35" i="48" s="1"/>
  <c r="B12" i="48"/>
  <c r="B11" i="48"/>
  <c r="N11" i="48" s="1"/>
  <c r="L33" i="48" s="1"/>
  <c r="B10" i="48"/>
  <c r="H31" i="48"/>
  <c r="B9" i="48"/>
  <c r="N9" i="48" s="1"/>
  <c r="L31" i="48" s="1"/>
  <c r="B8" i="48"/>
  <c r="B7" i="48"/>
  <c r="N7" i="48" s="1"/>
  <c r="L29" i="48" s="1"/>
  <c r="J20" i="48" l="1"/>
  <c r="H42" i="48" s="1"/>
  <c r="J7" i="48"/>
  <c r="H29" i="48" s="1"/>
  <c r="J11" i="48"/>
  <c r="H33" i="48" s="1"/>
  <c r="J13" i="48"/>
  <c r="H35" i="48" s="1"/>
  <c r="J15" i="48"/>
  <c r="H37" i="48" s="1"/>
  <c r="N20" i="48"/>
  <c r="L42" i="48" s="1"/>
  <c r="B30" i="48"/>
  <c r="F8" i="48"/>
  <c r="T30" i="48" s="1"/>
  <c r="O8" i="48"/>
  <c r="M30" i="48" s="1"/>
  <c r="K8" i="48"/>
  <c r="I30" i="48" s="1"/>
  <c r="B34" i="48"/>
  <c r="O12" i="48"/>
  <c r="M34" i="48" s="1"/>
  <c r="K12" i="48"/>
  <c r="I34" i="48" s="1"/>
  <c r="P16" i="48"/>
  <c r="N38" i="48" s="1"/>
  <c r="Q16" i="48"/>
  <c r="O38" i="48" s="1"/>
  <c r="L16" i="48"/>
  <c r="J38" i="48" s="1"/>
  <c r="S8" i="48"/>
  <c r="Q30" i="48" s="1"/>
  <c r="S12" i="48"/>
  <c r="Q34" i="48" s="1"/>
  <c r="B29" i="48"/>
  <c r="R7" i="48"/>
  <c r="P29" i="48" s="1"/>
  <c r="M7" i="48"/>
  <c r="K29" i="48" s="1"/>
  <c r="F7" i="48"/>
  <c r="T29" i="48" s="1"/>
  <c r="Q7" i="48"/>
  <c r="O29" i="48" s="1"/>
  <c r="K7" i="48"/>
  <c r="I29" i="48" s="1"/>
  <c r="E7" i="48"/>
  <c r="S29" i="48" s="1"/>
  <c r="O7" i="48"/>
  <c r="M29" i="48" s="1"/>
  <c r="B31" i="48"/>
  <c r="M9" i="48"/>
  <c r="K31" i="48" s="1"/>
  <c r="F9" i="48"/>
  <c r="T31" i="48" s="1"/>
  <c r="Q9" i="48"/>
  <c r="O31" i="48" s="1"/>
  <c r="K9" i="48"/>
  <c r="I31" i="48" s="1"/>
  <c r="E9" i="48"/>
  <c r="S31" i="48" s="1"/>
  <c r="O9" i="48"/>
  <c r="M31" i="48" s="1"/>
  <c r="B33" i="48"/>
  <c r="R11" i="48"/>
  <c r="P33" i="48" s="1"/>
  <c r="M11" i="48"/>
  <c r="K33" i="48" s="1"/>
  <c r="F11" i="48"/>
  <c r="T33" i="48" s="1"/>
  <c r="Q11" i="48"/>
  <c r="O33" i="48" s="1"/>
  <c r="K11" i="48"/>
  <c r="I33" i="48" s="1"/>
  <c r="E11" i="48"/>
  <c r="S33" i="48" s="1"/>
  <c r="O11" i="48"/>
  <c r="M33" i="48" s="1"/>
  <c r="B35" i="48"/>
  <c r="R13" i="48"/>
  <c r="P35" i="48" s="1"/>
  <c r="M13" i="48"/>
  <c r="K35" i="48" s="1"/>
  <c r="F13" i="48"/>
  <c r="T35" i="48" s="1"/>
  <c r="Q13" i="48"/>
  <c r="O35" i="48" s="1"/>
  <c r="K13" i="48"/>
  <c r="I35" i="48" s="1"/>
  <c r="E13" i="48"/>
  <c r="S35" i="48" s="1"/>
  <c r="O13" i="48"/>
  <c r="M35" i="48" s="1"/>
  <c r="B37" i="48"/>
  <c r="R15" i="48"/>
  <c r="P37" i="48" s="1"/>
  <c r="M15" i="48"/>
  <c r="K37" i="48" s="1"/>
  <c r="F15" i="48"/>
  <c r="T37" i="48" s="1"/>
  <c r="Q15" i="48"/>
  <c r="O37" i="48" s="1"/>
  <c r="K15" i="48"/>
  <c r="I37" i="48" s="1"/>
  <c r="E15" i="48"/>
  <c r="S37" i="48" s="1"/>
  <c r="O15" i="48"/>
  <c r="M37" i="48" s="1"/>
  <c r="B32" i="48"/>
  <c r="O10" i="48"/>
  <c r="M32" i="48" s="1"/>
  <c r="K10" i="48"/>
  <c r="I32" i="48" s="1"/>
  <c r="B36" i="48"/>
  <c r="O14" i="48"/>
  <c r="M36" i="48" s="1"/>
  <c r="K14" i="48"/>
  <c r="I36" i="48" s="1"/>
  <c r="S10" i="48"/>
  <c r="Q32" i="48" s="1"/>
  <c r="I7" i="48"/>
  <c r="G29" i="48" s="1"/>
  <c r="S7" i="48"/>
  <c r="Q29" i="48" s="1"/>
  <c r="I9" i="48"/>
  <c r="G31" i="48" s="1"/>
  <c r="S9" i="48"/>
  <c r="Q31" i="48" s="1"/>
  <c r="I11" i="48"/>
  <c r="G33" i="48" s="1"/>
  <c r="S11" i="48"/>
  <c r="Q33" i="48" s="1"/>
  <c r="I13" i="48"/>
  <c r="G35" i="48" s="1"/>
  <c r="S13" i="48"/>
  <c r="Q35" i="48" s="1"/>
  <c r="I15" i="48"/>
  <c r="G37" i="48" s="1"/>
  <c r="S15" i="48"/>
  <c r="Q37" i="48" s="1"/>
  <c r="L18" i="48"/>
  <c r="J40" i="48" s="1"/>
  <c r="R20" i="48"/>
  <c r="P42" i="48" s="1"/>
  <c r="F20" i="48"/>
  <c r="T42" i="48" s="1"/>
  <c r="H8" i="48"/>
  <c r="F30" i="48" s="1"/>
  <c r="E8" i="48"/>
  <c r="S30" i="48" s="1"/>
  <c r="I8" i="48"/>
  <c r="G30" i="48" s="1"/>
  <c r="M8" i="48"/>
  <c r="K30" i="48" s="1"/>
  <c r="Q8" i="48"/>
  <c r="O30" i="48" s="1"/>
  <c r="E10" i="48"/>
  <c r="S32" i="48" s="1"/>
  <c r="I10" i="48"/>
  <c r="G32" i="48" s="1"/>
  <c r="M10" i="48"/>
  <c r="K32" i="48" s="1"/>
  <c r="Q10" i="48"/>
  <c r="O32" i="48" s="1"/>
  <c r="E12" i="48"/>
  <c r="S34" i="48" s="1"/>
  <c r="I12" i="48"/>
  <c r="G34" i="48" s="1"/>
  <c r="M12" i="48"/>
  <c r="K34" i="48" s="1"/>
  <c r="Q12" i="48"/>
  <c r="O34" i="48" s="1"/>
  <c r="E14" i="48"/>
  <c r="S36" i="48" s="1"/>
  <c r="I14" i="48"/>
  <c r="G36" i="48" s="1"/>
  <c r="M14" i="48"/>
  <c r="K36" i="48" s="1"/>
  <c r="Q14" i="48"/>
  <c r="O36" i="48" s="1"/>
  <c r="E16" i="48"/>
  <c r="S38" i="48" s="1"/>
  <c r="I16" i="48"/>
  <c r="G38" i="48" s="1"/>
  <c r="N16" i="48"/>
  <c r="L38" i="48" s="1"/>
  <c r="T16" i="48"/>
  <c r="R38" i="48" s="1"/>
  <c r="L17" i="48"/>
  <c r="J39" i="48" s="1"/>
  <c r="R17" i="48"/>
  <c r="P39" i="48" s="1"/>
  <c r="E18" i="48"/>
  <c r="S40" i="48" s="1"/>
  <c r="I18" i="48"/>
  <c r="G40" i="48" s="1"/>
  <c r="N18" i="48"/>
  <c r="L40" i="48" s="1"/>
  <c r="T18" i="48"/>
  <c r="R40" i="48" s="1"/>
  <c r="L19" i="48"/>
  <c r="J41" i="48" s="1"/>
  <c r="R19" i="48"/>
  <c r="P41" i="48" s="1"/>
  <c r="H7" i="48"/>
  <c r="F29" i="48" s="1"/>
  <c r="L7" i="48"/>
  <c r="J29" i="48" s="1"/>
  <c r="P7" i="48"/>
  <c r="N29" i="48" s="1"/>
  <c r="T7" i="48"/>
  <c r="R29" i="48" s="1"/>
  <c r="J8" i="48"/>
  <c r="H30" i="48" s="1"/>
  <c r="N8" i="48"/>
  <c r="L30" i="48" s="1"/>
  <c r="R8" i="48"/>
  <c r="P30" i="48" s="1"/>
  <c r="H9" i="48"/>
  <c r="F31" i="48" s="1"/>
  <c r="L9" i="48"/>
  <c r="J31" i="48" s="1"/>
  <c r="P9" i="48"/>
  <c r="N31" i="48" s="1"/>
  <c r="T9" i="48"/>
  <c r="R31" i="48" s="1"/>
  <c r="F10" i="48"/>
  <c r="T32" i="48" s="1"/>
  <c r="J10" i="48"/>
  <c r="H32" i="48" s="1"/>
  <c r="N10" i="48"/>
  <c r="L32" i="48" s="1"/>
  <c r="R10" i="48"/>
  <c r="P32" i="48" s="1"/>
  <c r="H11" i="48"/>
  <c r="F33" i="48" s="1"/>
  <c r="L11" i="48"/>
  <c r="J33" i="48" s="1"/>
  <c r="P11" i="48"/>
  <c r="N33" i="48" s="1"/>
  <c r="T11" i="48"/>
  <c r="R33" i="48" s="1"/>
  <c r="F12" i="48"/>
  <c r="T34" i="48" s="1"/>
  <c r="J12" i="48"/>
  <c r="H34" i="48" s="1"/>
  <c r="N12" i="48"/>
  <c r="L34" i="48" s="1"/>
  <c r="R12" i="48"/>
  <c r="P34" i="48" s="1"/>
  <c r="H13" i="48"/>
  <c r="F35" i="48" s="1"/>
  <c r="L13" i="48"/>
  <c r="J35" i="48" s="1"/>
  <c r="P13" i="48"/>
  <c r="N35" i="48" s="1"/>
  <c r="T13" i="48"/>
  <c r="R35" i="48" s="1"/>
  <c r="F14" i="48"/>
  <c r="T36" i="48" s="1"/>
  <c r="J14" i="48"/>
  <c r="H36" i="48" s="1"/>
  <c r="N14" i="48"/>
  <c r="L36" i="48" s="1"/>
  <c r="R14" i="48"/>
  <c r="P36" i="48" s="1"/>
  <c r="H15" i="48"/>
  <c r="F37" i="48" s="1"/>
  <c r="L15" i="48"/>
  <c r="J37" i="48" s="1"/>
  <c r="P15" i="48"/>
  <c r="N37" i="48" s="1"/>
  <c r="T15" i="48"/>
  <c r="R37" i="48" s="1"/>
  <c r="F16" i="48"/>
  <c r="T38" i="48" s="1"/>
  <c r="J16" i="48"/>
  <c r="H38" i="48" s="1"/>
  <c r="H17" i="48"/>
  <c r="F39" i="48" s="1"/>
  <c r="N17" i="48"/>
  <c r="L39" i="48" s="1"/>
  <c r="F18" i="48"/>
  <c r="T40" i="48" s="1"/>
  <c r="J18" i="48"/>
  <c r="H40" i="48" s="1"/>
  <c r="P18" i="48"/>
  <c r="N40" i="48" s="1"/>
  <c r="H19" i="48"/>
  <c r="F41" i="48" s="1"/>
  <c r="N19" i="48"/>
  <c r="L41" i="48" s="1"/>
  <c r="Q17" i="48"/>
  <c r="O39" i="48" s="1"/>
  <c r="M17" i="48"/>
  <c r="K39" i="48" s="1"/>
  <c r="I17" i="48"/>
  <c r="G39" i="48" s="1"/>
  <c r="E17" i="48"/>
  <c r="S39" i="48" s="1"/>
  <c r="B39" i="48"/>
  <c r="J17" i="48"/>
  <c r="H39" i="48" s="1"/>
  <c r="O17" i="48"/>
  <c r="M39" i="48" s="1"/>
  <c r="T17" i="48"/>
  <c r="R39" i="48" s="1"/>
  <c r="Q19" i="48"/>
  <c r="O41" i="48" s="1"/>
  <c r="M19" i="48"/>
  <c r="K41" i="48" s="1"/>
  <c r="I19" i="48"/>
  <c r="G41" i="48" s="1"/>
  <c r="E19" i="48"/>
  <c r="S41" i="48" s="1"/>
  <c r="B41" i="48"/>
  <c r="J19" i="48"/>
  <c r="H41" i="48" s="1"/>
  <c r="O19" i="48"/>
  <c r="M41" i="48" s="1"/>
  <c r="T19" i="48"/>
  <c r="R41" i="48" s="1"/>
  <c r="L8" i="48"/>
  <c r="J30" i="48" s="1"/>
  <c r="P8" i="48"/>
  <c r="N30" i="48" s="1"/>
  <c r="T8" i="48"/>
  <c r="R30" i="48" s="1"/>
  <c r="H10" i="48"/>
  <c r="F32" i="48" s="1"/>
  <c r="L10" i="48"/>
  <c r="J32" i="48" s="1"/>
  <c r="P10" i="48"/>
  <c r="N32" i="48" s="1"/>
  <c r="T10" i="48"/>
  <c r="R32" i="48" s="1"/>
  <c r="H12" i="48"/>
  <c r="F34" i="48" s="1"/>
  <c r="L12" i="48"/>
  <c r="J34" i="48" s="1"/>
  <c r="P12" i="48"/>
  <c r="N34" i="48" s="1"/>
  <c r="T12" i="48"/>
  <c r="R34" i="48" s="1"/>
  <c r="H14" i="48"/>
  <c r="F36" i="48" s="1"/>
  <c r="L14" i="48"/>
  <c r="J36" i="48" s="1"/>
  <c r="P14" i="48"/>
  <c r="N36" i="48" s="1"/>
  <c r="T14" i="48"/>
  <c r="R36" i="48" s="1"/>
  <c r="S16" i="48"/>
  <c r="Q38" i="48" s="1"/>
  <c r="O16" i="48"/>
  <c r="M38" i="48" s="1"/>
  <c r="K16" i="48"/>
  <c r="I38" i="48" s="1"/>
  <c r="B38" i="48"/>
  <c r="H16" i="48"/>
  <c r="F38" i="48" s="1"/>
  <c r="M16" i="48"/>
  <c r="K38" i="48" s="1"/>
  <c r="R16" i="48"/>
  <c r="P38" i="48" s="1"/>
  <c r="F17" i="48"/>
  <c r="T39" i="48" s="1"/>
  <c r="K17" i="48"/>
  <c r="I39" i="48" s="1"/>
  <c r="P17" i="48"/>
  <c r="N39" i="48" s="1"/>
  <c r="B40" i="48"/>
  <c r="S18" i="48"/>
  <c r="Q40" i="48" s="1"/>
  <c r="O18" i="48"/>
  <c r="M40" i="48" s="1"/>
  <c r="K18" i="48"/>
  <c r="I40" i="48" s="1"/>
  <c r="H18" i="48"/>
  <c r="F40" i="48" s="1"/>
  <c r="M18" i="48"/>
  <c r="K40" i="48" s="1"/>
  <c r="R18" i="48"/>
  <c r="P40" i="48" s="1"/>
  <c r="F19" i="48"/>
  <c r="T41" i="48" s="1"/>
  <c r="K19" i="48"/>
  <c r="I41" i="48" s="1"/>
  <c r="P19" i="48"/>
  <c r="N41" i="48" s="1"/>
  <c r="H20" i="48"/>
  <c r="F42" i="48" s="1"/>
  <c r="L20" i="48"/>
  <c r="J42" i="48" s="1"/>
  <c r="P20" i="48"/>
  <c r="N42" i="48" s="1"/>
  <c r="T20" i="48"/>
  <c r="R42" i="48" s="1"/>
  <c r="F21" i="48"/>
  <c r="T43" i="48" s="1"/>
  <c r="J21" i="48"/>
  <c r="H43" i="48" s="1"/>
  <c r="N21" i="48"/>
  <c r="L43" i="48" s="1"/>
  <c r="R21" i="48"/>
  <c r="P43" i="48" s="1"/>
  <c r="E20" i="48"/>
  <c r="S42" i="48" s="1"/>
  <c r="I20" i="48"/>
  <c r="G42" i="48" s="1"/>
  <c r="M20" i="48"/>
  <c r="K42" i="48" s="1"/>
  <c r="Q20" i="48"/>
  <c r="O42" i="48" s="1"/>
  <c r="K21" i="48"/>
  <c r="I43" i="48" s="1"/>
  <c r="O21" i="48"/>
  <c r="M43" i="48" s="1"/>
  <c r="S21" i="48"/>
  <c r="Q43" i="48" s="1"/>
  <c r="B42" i="48"/>
  <c r="H21" i="48"/>
  <c r="F43" i="48" s="1"/>
  <c r="L21" i="48"/>
  <c r="J43" i="48" s="1"/>
  <c r="P21" i="48"/>
  <c r="N43" i="48" s="1"/>
  <c r="T21" i="48"/>
  <c r="R43" i="48" s="1"/>
  <c r="B43" i="48"/>
  <c r="K20" i="48"/>
  <c r="I42" i="48" s="1"/>
  <c r="O20" i="48"/>
  <c r="M42" i="48" s="1"/>
  <c r="E21" i="48"/>
  <c r="S43" i="48" s="1"/>
  <c r="I21" i="48"/>
  <c r="G43" i="48" s="1"/>
  <c r="M21" i="48"/>
  <c r="K43" i="48" s="1"/>
  <c r="O45" i="48" l="1"/>
  <c r="Z15" i="48" s="1"/>
  <c r="I45" i="48"/>
  <c r="Z9" i="48" s="1"/>
  <c r="H45" i="48"/>
  <c r="Z8" i="48" s="1"/>
  <c r="M45" i="48"/>
  <c r="Z13" i="48" s="1"/>
  <c r="L45" i="48"/>
  <c r="Z12" i="48" s="1"/>
  <c r="Q45" i="48"/>
  <c r="K45" i="48"/>
  <c r="Z11" i="48" s="1"/>
  <c r="G45" i="48"/>
  <c r="Z7" i="48" s="1"/>
  <c r="R45" i="48"/>
  <c r="N45" i="48"/>
  <c r="Z14" i="48" s="1"/>
  <c r="J45" i="48"/>
  <c r="Z10" i="48" s="1"/>
  <c r="F45" i="48"/>
  <c r="X16" i="48" s="1"/>
  <c r="B21" i="22" l="1"/>
  <c r="B20" i="22"/>
  <c r="B19" i="22"/>
  <c r="F19" i="22" s="1"/>
  <c r="T41" i="22" s="1"/>
  <c r="B18" i="22"/>
  <c r="B17" i="22"/>
  <c r="B16" i="22"/>
  <c r="B15" i="22"/>
  <c r="B14" i="22"/>
  <c r="B13" i="22"/>
  <c r="B12" i="22"/>
  <c r="F12" i="22" s="1"/>
  <c r="T34" i="22" s="1"/>
  <c r="B11" i="22"/>
  <c r="T33" i="22" s="1"/>
  <c r="B10" i="22"/>
  <c r="B9" i="22"/>
  <c r="T31" i="22" s="1"/>
  <c r="B8" i="22"/>
  <c r="F8" i="22" s="1"/>
  <c r="T30" i="22" s="1"/>
  <c r="B7" i="22"/>
  <c r="T29" i="22" s="1"/>
  <c r="E10" i="22" l="1"/>
  <c r="S32" i="22" s="1"/>
  <c r="F10" i="22"/>
  <c r="T32" i="22" s="1"/>
  <c r="E9" i="22"/>
  <c r="S31" i="22" s="1"/>
  <c r="S30" i="22"/>
  <c r="G21" i="22" l="1"/>
  <c r="G20" i="22"/>
  <c r="G19" i="22"/>
  <c r="G18" i="22"/>
  <c r="G17" i="22"/>
  <c r="G16" i="22"/>
  <c r="G15" i="22"/>
  <c r="G14" i="22"/>
  <c r="G13" i="22"/>
  <c r="G12" i="22"/>
  <c r="G11" i="22"/>
  <c r="G10" i="22"/>
  <c r="G9" i="22"/>
  <c r="Q8" i="22"/>
  <c r="P8" i="22"/>
  <c r="O8" i="22"/>
  <c r="N8" i="22"/>
  <c r="M8" i="22"/>
  <c r="L8" i="22"/>
  <c r="K8" i="22"/>
  <c r="J8" i="22"/>
  <c r="I8" i="22"/>
  <c r="H8" i="22"/>
  <c r="G8" i="22"/>
  <c r="R9" i="48" l="1"/>
  <c r="P31" i="48" s="1"/>
  <c r="P45" i="48" s="1"/>
  <c r="Q9" i="22"/>
  <c r="K9" i="22"/>
  <c r="O9" i="22"/>
  <c r="J9" i="22"/>
  <c r="M9" i="22"/>
  <c r="N9" i="22"/>
  <c r="I9" i="22"/>
  <c r="H9" i="22"/>
  <c r="L9" i="22"/>
  <c r="P9" i="22"/>
  <c r="N46" i="22" l="1"/>
  <c r="M46" i="22"/>
  <c r="K46" i="22"/>
  <c r="I46" i="22"/>
  <c r="E45" i="22"/>
  <c r="G22" i="22" s="1"/>
  <c r="N44" i="22"/>
  <c r="M44" i="22"/>
  <c r="J44" i="22"/>
  <c r="I44" i="22"/>
  <c r="G44" i="22"/>
  <c r="B31" i="22"/>
  <c r="B30" i="22"/>
  <c r="V17" i="22"/>
  <c r="O31" i="22"/>
  <c r="N31" i="22"/>
  <c r="M31" i="22"/>
  <c r="L31" i="22"/>
  <c r="K31" i="22"/>
  <c r="J31" i="22"/>
  <c r="I31" i="22"/>
  <c r="H31" i="22"/>
  <c r="G31" i="22"/>
  <c r="F31" i="22"/>
  <c r="D31" i="22"/>
  <c r="O30" i="22"/>
  <c r="N30" i="22"/>
  <c r="M30" i="22"/>
  <c r="L30" i="22"/>
  <c r="K30" i="22"/>
  <c r="J30" i="22"/>
  <c r="I30" i="22"/>
  <c r="H30" i="22"/>
  <c r="G30" i="22"/>
  <c r="F30" i="22"/>
  <c r="D30" i="22"/>
  <c r="G7" i="22"/>
  <c r="D29" i="22" l="1"/>
  <c r="B29" i="22"/>
  <c r="H7" i="22" l="1"/>
  <c r="F29" i="22" s="1"/>
  <c r="E7" i="22"/>
  <c r="S29" i="22" s="1"/>
  <c r="Q7" i="22"/>
  <c r="O29" i="22" s="1"/>
  <c r="N7" i="22"/>
  <c r="L29" i="22" s="1"/>
  <c r="I7" i="22"/>
  <c r="G29" i="22" s="1"/>
  <c r="M7" i="22"/>
  <c r="K29" i="22" s="1"/>
  <c r="L7" i="22"/>
  <c r="J29" i="22" s="1"/>
  <c r="O7" i="22"/>
  <c r="M29" i="22" s="1"/>
  <c r="K7" i="22"/>
  <c r="I29" i="22" s="1"/>
  <c r="P7" i="22"/>
  <c r="N29" i="22" s="1"/>
  <c r="J7" i="22"/>
  <c r="H29" i="22" s="1"/>
  <c r="D35" i="22"/>
  <c r="D42" i="22"/>
  <c r="D33" i="22"/>
  <c r="D37" i="22"/>
  <c r="D38" i="22"/>
  <c r="D36" i="22"/>
  <c r="D43" i="22"/>
  <c r="D34" i="22"/>
  <c r="D32" i="22"/>
  <c r="D39" i="22"/>
  <c r="D41" i="22"/>
  <c r="D40" i="22"/>
  <c r="J16" i="22" l="1"/>
  <c r="H38" i="22" s="1"/>
  <c r="E16" i="22"/>
  <c r="S38" i="22" s="1"/>
  <c r="Q16" i="22"/>
  <c r="O38" i="22" s="1"/>
  <c r="O16" i="22"/>
  <c r="M38" i="22" s="1"/>
  <c r="F16" i="22"/>
  <c r="T38" i="22" s="1"/>
  <c r="B38" i="22"/>
  <c r="I16" i="22"/>
  <c r="G38" i="22" s="1"/>
  <c r="P16" i="22"/>
  <c r="N38" i="22" s="1"/>
  <c r="M16" i="22"/>
  <c r="K38" i="22" s="1"/>
  <c r="L16" i="22"/>
  <c r="J38" i="22" s="1"/>
  <c r="N16" i="22"/>
  <c r="L38" i="22" s="1"/>
  <c r="K16" i="22"/>
  <c r="I38" i="22" s="1"/>
  <c r="H16" i="22"/>
  <c r="F38" i="22" s="1"/>
  <c r="J15" i="22" l="1"/>
  <c r="H37" i="22" s="1"/>
  <c r="N15" i="22"/>
  <c r="L37" i="22" s="1"/>
  <c r="L15" i="22"/>
  <c r="J37" i="22" s="1"/>
  <c r="I15" i="22"/>
  <c r="G37" i="22" s="1"/>
  <c r="B37" i="22"/>
  <c r="E15" i="22"/>
  <c r="S37" i="22" s="1"/>
  <c r="M15" i="22"/>
  <c r="K37" i="22" s="1"/>
  <c r="Q15" i="22"/>
  <c r="O37" i="22" s="1"/>
  <c r="K15" i="22"/>
  <c r="I37" i="22" s="1"/>
  <c r="O15" i="22"/>
  <c r="M37" i="22" s="1"/>
  <c r="F15" i="22"/>
  <c r="T37" i="22" s="1"/>
  <c r="P15" i="22"/>
  <c r="N37" i="22" s="1"/>
  <c r="H15" i="22"/>
  <c r="F37" i="22" s="1"/>
  <c r="I14" i="22" l="1"/>
  <c r="G36" i="22" s="1"/>
  <c r="J14" i="22"/>
  <c r="H36" i="22" s="1"/>
  <c r="O14" i="22"/>
  <c r="M36" i="22" s="1"/>
  <c r="N14" i="22"/>
  <c r="L36" i="22" s="1"/>
  <c r="K14" i="22"/>
  <c r="I36" i="22" s="1"/>
  <c r="B36" i="22"/>
  <c r="E14" i="22"/>
  <c r="S36" i="22" s="1"/>
  <c r="F14" i="22"/>
  <c r="T36" i="22" s="1"/>
  <c r="M14" i="22"/>
  <c r="K36" i="22" s="1"/>
  <c r="Q14" i="22"/>
  <c r="O36" i="22" s="1"/>
  <c r="P14" i="22"/>
  <c r="N36" i="22" s="1"/>
  <c r="L14" i="22"/>
  <c r="J36" i="22" s="1"/>
  <c r="H14" i="22"/>
  <c r="F36" i="22" s="1"/>
  <c r="B35" i="22" l="1"/>
  <c r="N13" i="22"/>
  <c r="L35" i="22" s="1"/>
  <c r="E13" i="22"/>
  <c r="S35" i="22" s="1"/>
  <c r="M13" i="22"/>
  <c r="K35" i="22" s="1"/>
  <c r="F13" i="22"/>
  <c r="T35" i="22" s="1"/>
  <c r="K13" i="22"/>
  <c r="I35" i="22" s="1"/>
  <c r="I13" i="22"/>
  <c r="G35" i="22" s="1"/>
  <c r="J13" i="22"/>
  <c r="H35" i="22" s="1"/>
  <c r="O13" i="22"/>
  <c r="M35" i="22" s="1"/>
  <c r="Q13" i="22"/>
  <c r="O35" i="22" s="1"/>
  <c r="L13" i="22"/>
  <c r="J35" i="22" s="1"/>
  <c r="P13" i="22"/>
  <c r="N35" i="22" s="1"/>
  <c r="H13" i="22"/>
  <c r="F35" i="22" s="1"/>
  <c r="B39" i="22" l="1"/>
  <c r="Q17" i="22"/>
  <c r="O39" i="22" s="1"/>
  <c r="J17" i="22"/>
  <c r="H39" i="22" s="1"/>
  <c r="O17" i="22"/>
  <c r="M39" i="22" s="1"/>
  <c r="M17" i="22"/>
  <c r="K39" i="22" s="1"/>
  <c r="I17" i="22"/>
  <c r="G39" i="22" s="1"/>
  <c r="H17" i="22"/>
  <c r="F39" i="22" s="1"/>
  <c r="L17" i="22"/>
  <c r="J39" i="22" s="1"/>
  <c r="E17" i="22"/>
  <c r="S39" i="22" s="1"/>
  <c r="K17" i="22"/>
  <c r="I39" i="22" s="1"/>
  <c r="N17" i="22"/>
  <c r="L39" i="22" s="1"/>
  <c r="P17" i="22"/>
  <c r="N39" i="22" s="1"/>
  <c r="F17" i="22"/>
  <c r="T39" i="22" s="1"/>
  <c r="B34" i="22" l="1"/>
  <c r="Q12" i="22"/>
  <c r="O34" i="22" s="1"/>
  <c r="M12" i="22"/>
  <c r="K34" i="22" s="1"/>
  <c r="E12" i="22"/>
  <c r="S34" i="22" s="1"/>
  <c r="I12" i="22"/>
  <c r="G34" i="22" s="1"/>
  <c r="N12" i="22"/>
  <c r="L34" i="22" s="1"/>
  <c r="O12" i="22"/>
  <c r="M34" i="22" s="1"/>
  <c r="J12" i="22"/>
  <c r="H34" i="22" s="1"/>
  <c r="L12" i="22"/>
  <c r="J34" i="22" s="1"/>
  <c r="H12" i="22"/>
  <c r="F34" i="22" s="1"/>
  <c r="P12" i="22"/>
  <c r="N34" i="22" s="1"/>
  <c r="K12" i="22"/>
  <c r="I34" i="22" s="1"/>
  <c r="N11" i="22" l="1"/>
  <c r="L33" i="22" s="1"/>
  <c r="E11" i="22"/>
  <c r="S33" i="22" s="1"/>
  <c r="M11" i="22"/>
  <c r="K33" i="22" s="1"/>
  <c r="K11" i="22"/>
  <c r="I33" i="22" s="1"/>
  <c r="J11" i="22"/>
  <c r="H33" i="22" s="1"/>
  <c r="I11" i="22"/>
  <c r="G33" i="22" s="1"/>
  <c r="Q11" i="22"/>
  <c r="O33" i="22" s="1"/>
  <c r="B33" i="22"/>
  <c r="O11" i="22"/>
  <c r="M33" i="22" s="1"/>
  <c r="P11" i="22"/>
  <c r="N33" i="22" s="1"/>
  <c r="L11" i="22"/>
  <c r="J33" i="22" s="1"/>
  <c r="H11" i="22"/>
  <c r="F33" i="22" s="1"/>
  <c r="B40" i="22" l="1"/>
  <c r="O18" i="22"/>
  <c r="M40" i="22" s="1"/>
  <c r="P18" i="22"/>
  <c r="N40" i="22" s="1"/>
  <c r="I18" i="22"/>
  <c r="G40" i="22" s="1"/>
  <c r="N18" i="22"/>
  <c r="L40" i="22" s="1"/>
  <c r="Q18" i="22"/>
  <c r="O40" i="22" s="1"/>
  <c r="L18" i="22"/>
  <c r="J40" i="22" s="1"/>
  <c r="M18" i="22"/>
  <c r="K40" i="22" s="1"/>
  <c r="J18" i="22"/>
  <c r="H40" i="22" s="1"/>
  <c r="H18" i="22"/>
  <c r="F40" i="22" s="1"/>
  <c r="K18" i="22"/>
  <c r="I40" i="22" s="1"/>
  <c r="E18" i="22"/>
  <c r="S40" i="22" s="1"/>
  <c r="F18" i="22"/>
  <c r="T40" i="22" s="1"/>
  <c r="Q19" i="22" l="1"/>
  <c r="O41" i="22" s="1"/>
  <c r="N19" i="22"/>
  <c r="L41" i="22" s="1"/>
  <c r="B41" i="22"/>
  <c r="H19" i="22"/>
  <c r="F41" i="22" s="1"/>
  <c r="K19" i="22"/>
  <c r="I41" i="22" s="1"/>
  <c r="P19" i="22"/>
  <c r="N41" i="22" s="1"/>
  <c r="M19" i="22"/>
  <c r="K41" i="22" s="1"/>
  <c r="L19" i="22"/>
  <c r="J41" i="22" s="1"/>
  <c r="O19" i="22"/>
  <c r="M41" i="22" s="1"/>
  <c r="I19" i="22"/>
  <c r="G41" i="22" s="1"/>
  <c r="J19" i="22"/>
  <c r="H41" i="22" s="1"/>
  <c r="E19" i="22"/>
  <c r="S41" i="22" s="1"/>
  <c r="I20" i="22" l="1"/>
  <c r="G42" i="22" s="1"/>
  <c r="K20" i="22"/>
  <c r="I42" i="22" s="1"/>
  <c r="J20" i="22"/>
  <c r="H42" i="22" s="1"/>
  <c r="B42" i="22"/>
  <c r="N20" i="22"/>
  <c r="L42" i="22" s="1"/>
  <c r="O20" i="22"/>
  <c r="M42" i="22" s="1"/>
  <c r="H20" i="22"/>
  <c r="F42" i="22" s="1"/>
  <c r="M20" i="22"/>
  <c r="K42" i="22" s="1"/>
  <c r="Q20" i="22"/>
  <c r="O42" i="22" s="1"/>
  <c r="L20" i="22"/>
  <c r="J42" i="22" s="1"/>
  <c r="P20" i="22"/>
  <c r="N42" i="22" s="1"/>
  <c r="F20" i="22"/>
  <c r="T42" i="22" s="1"/>
  <c r="E20" i="22"/>
  <c r="S42" i="22" s="1"/>
  <c r="B43" i="22" l="1"/>
  <c r="N21" i="22"/>
  <c r="L43" i="22" s="1"/>
  <c r="Q21" i="22"/>
  <c r="O43" i="22" s="1"/>
  <c r="L21" i="22"/>
  <c r="J43" i="22" s="1"/>
  <c r="P21" i="22"/>
  <c r="N43" i="22" s="1"/>
  <c r="J21" i="22"/>
  <c r="H43" i="22" s="1"/>
  <c r="H21" i="22"/>
  <c r="F43" i="22" s="1"/>
  <c r="M21" i="22"/>
  <c r="K43" i="22" s="1"/>
  <c r="O21" i="22"/>
  <c r="M43" i="22" s="1"/>
  <c r="I21" i="22"/>
  <c r="G43" i="22" s="1"/>
  <c r="K21" i="22"/>
  <c r="I43" i="22" s="1"/>
  <c r="F21" i="22"/>
  <c r="T43" i="22" s="1"/>
  <c r="E21" i="22"/>
  <c r="S43" i="22" s="1"/>
  <c r="B32" i="22" l="1"/>
  <c r="P10" i="22"/>
  <c r="N32" i="22" s="1"/>
  <c r="N45" i="22" s="1"/>
  <c r="Z14" i="22" s="1"/>
  <c r="Q10" i="22"/>
  <c r="O32" i="22" s="1"/>
  <c r="O45" i="22" s="1"/>
  <c r="Z15" i="22" s="1"/>
  <c r="M10" i="22"/>
  <c r="K32" i="22" s="1"/>
  <c r="K45" i="22" s="1"/>
  <c r="Z11" i="22" s="1"/>
  <c r="H10" i="22"/>
  <c r="F32" i="22" s="1"/>
  <c r="F45" i="22" s="1"/>
  <c r="X16" i="22" s="1"/>
  <c r="N10" i="22"/>
  <c r="L32" i="22" s="1"/>
  <c r="L45" i="22" s="1"/>
  <c r="Z12" i="22" s="1"/>
  <c r="J10" i="22"/>
  <c r="H32" i="22" s="1"/>
  <c r="H45" i="22" s="1"/>
  <c r="Z8" i="22" s="1"/>
  <c r="I10" i="22"/>
  <c r="G32" i="22" s="1"/>
  <c r="G45" i="22" s="1"/>
  <c r="Z7" i="22" s="1"/>
  <c r="K10" i="22"/>
  <c r="I32" i="22" s="1"/>
  <c r="I45" i="22" s="1"/>
  <c r="Z9" i="22" s="1"/>
  <c r="L10" i="22"/>
  <c r="J32" i="22" s="1"/>
  <c r="J45" i="22" s="1"/>
  <c r="Z10" i="22" s="1"/>
  <c r="O10" i="22"/>
  <c r="M32" i="22" s="1"/>
  <c r="M45" i="22" s="1"/>
  <c r="Z13" i="22" s="1"/>
</calcChain>
</file>

<file path=xl/sharedStrings.xml><?xml version="1.0" encoding="utf-8"?>
<sst xmlns="http://schemas.openxmlformats.org/spreadsheetml/2006/main" count="565" uniqueCount="110">
  <si>
    <t>No</t>
  </si>
  <si>
    <t>ME</t>
  </si>
  <si>
    <t>Ca</t>
  </si>
  <si>
    <t>Lys</t>
  </si>
  <si>
    <t>Met</t>
  </si>
  <si>
    <t>P</t>
  </si>
  <si>
    <t>Pavl</t>
  </si>
  <si>
    <t>Pollard</t>
  </si>
  <si>
    <t>Harga</t>
  </si>
  <si>
    <t>BK</t>
  </si>
  <si>
    <t>Abu</t>
  </si>
  <si>
    <t>PK</t>
  </si>
  <si>
    <t>LK</t>
  </si>
  <si>
    <t>SK</t>
  </si>
  <si>
    <t>Bekatul</t>
  </si>
  <si>
    <t>Gaplek</t>
  </si>
  <si>
    <t>Bungkil Kelapa</t>
  </si>
  <si>
    <t>Kapur</t>
  </si>
  <si>
    <t>BetaN</t>
  </si>
  <si>
    <t>Bahan Pakan</t>
  </si>
  <si>
    <t>TOTAL</t>
  </si>
  <si>
    <t>MIN</t>
  </si>
  <si>
    <t>MAX</t>
  </si>
  <si>
    <t>%</t>
  </si>
  <si>
    <t>Batasan Minimal</t>
  </si>
  <si>
    <t>Batasan Maksimal</t>
  </si>
  <si>
    <t>Min</t>
  </si>
  <si>
    <t>Max</t>
  </si>
  <si>
    <t>kkal/kg</t>
  </si>
  <si>
    <t>Nutrien</t>
  </si>
  <si>
    <t>Unit</t>
  </si>
  <si>
    <t>Rp/kg</t>
  </si>
  <si>
    <t>Bahan Kering</t>
  </si>
  <si>
    <t>Protein Kasar</t>
  </si>
  <si>
    <t>Lemak Kasar</t>
  </si>
  <si>
    <t>Serat Kasar</t>
  </si>
  <si>
    <t>-</t>
  </si>
  <si>
    <t>Harga Ransum</t>
  </si>
  <si>
    <t>Tabel 2. Kandungan Nutrien Ransum</t>
  </si>
  <si>
    <t>Tabel 1. Komposisi Ransum</t>
  </si>
  <si>
    <r>
      <t>Tabel Perhitungan Formulasi Ransum (</t>
    </r>
    <r>
      <rPr>
        <b/>
        <sz val="16"/>
        <color rgb="FFFF0000"/>
        <rFont val="Arial"/>
        <family val="2"/>
      </rPr>
      <t>mohon tidak dirubah</t>
    </r>
    <r>
      <rPr>
        <b/>
        <sz val="16"/>
        <rFont val="Arial"/>
        <family val="2"/>
      </rPr>
      <t>)</t>
    </r>
  </si>
  <si>
    <t>Kalsium</t>
  </si>
  <si>
    <t>No. BP</t>
  </si>
  <si>
    <t>Bungkil Kedelai</t>
  </si>
  <si>
    <t>Jenis Ransum :</t>
  </si>
  <si>
    <t>Formulator          :</t>
  </si>
  <si>
    <t>Energi</t>
  </si>
  <si>
    <t>Protein</t>
  </si>
  <si>
    <t>Mineral</t>
  </si>
  <si>
    <t>Idat G. Permana</t>
  </si>
  <si>
    <t xml:space="preserve"> Simple Ration Formulation Software</t>
  </si>
  <si>
    <t>No Pakan</t>
  </si>
  <si>
    <t>Tahapan Formulasi Ransum</t>
  </si>
  <si>
    <t>Tepung Skim</t>
  </si>
  <si>
    <t>Singkong</t>
  </si>
  <si>
    <r>
      <rPr>
        <b/>
        <sz val="18"/>
        <color rgb="FF008000"/>
        <rFont val="Aharoni"/>
      </rPr>
      <t xml:space="preserve"> Forsum for Beef Cattle ver 2.0 </t>
    </r>
    <r>
      <rPr>
        <b/>
        <sz val="10"/>
        <color rgb="FFFF3300"/>
        <rFont val="Arial"/>
        <family val="2"/>
      </rPr>
      <t>- Simple Ration Formulation Software</t>
    </r>
  </si>
  <si>
    <r>
      <t xml:space="preserve">FORSUM for Beef Cattle </t>
    </r>
    <r>
      <rPr>
        <sz val="26"/>
        <color rgb="FF336600"/>
        <rFont val="Aharoni"/>
      </rPr>
      <t>ver 2.0</t>
    </r>
  </si>
  <si>
    <r>
      <t xml:space="preserve">FORSUM for Beef Cattle </t>
    </r>
    <r>
      <rPr>
        <sz val="23"/>
        <color rgb="FF336600"/>
        <rFont val="Aharoni"/>
      </rPr>
      <t>ver 2.0</t>
    </r>
  </si>
  <si>
    <t>Jerami Padi</t>
  </si>
  <si>
    <t>Daun Lamtoro</t>
  </si>
  <si>
    <t>Daun Jagung</t>
  </si>
  <si>
    <t>Rumput Lapang</t>
  </si>
  <si>
    <t>Rumput Gajah</t>
  </si>
  <si>
    <t>Daun Singkong</t>
  </si>
  <si>
    <t>Onggok</t>
  </si>
  <si>
    <t>Dedak Jagung</t>
  </si>
  <si>
    <t>Bungkil Kelapa Sawit</t>
  </si>
  <si>
    <t>Ampas Bir Kering</t>
  </si>
  <si>
    <t>Bungkil Biji Kapuk</t>
  </si>
  <si>
    <t>Ampas Kecap</t>
  </si>
  <si>
    <t>Jagung</t>
  </si>
  <si>
    <t>Bungkil Kacang Tanah</t>
  </si>
  <si>
    <t>Ampas Tahu</t>
  </si>
  <si>
    <t>Hijauan</t>
  </si>
  <si>
    <t>Jenis</t>
  </si>
  <si>
    <t>TDN</t>
  </si>
  <si>
    <t>Pospor</t>
  </si>
  <si>
    <t xml:space="preserve">Phospor </t>
  </si>
  <si>
    <t>Tabel 1. Komposisi Nutrien Bahan Pakan Sapi Potong</t>
  </si>
  <si>
    <t>Phospor</t>
  </si>
  <si>
    <t>Tabel 2. Kebutuhan Nutrien pada Sapi Potong (SNI)</t>
  </si>
  <si>
    <t>Premix</t>
  </si>
  <si>
    <t>Dedak Padi</t>
  </si>
  <si>
    <t>Biji Kedelai</t>
  </si>
  <si>
    <t>CPO</t>
  </si>
  <si>
    <t>Molases</t>
  </si>
  <si>
    <t>Garam</t>
  </si>
  <si>
    <t>Kalsium Karbonat</t>
  </si>
  <si>
    <t>DCP</t>
  </si>
  <si>
    <t>MCP</t>
  </si>
  <si>
    <t>Konst Penggemukan</t>
  </si>
  <si>
    <t>Konsentrat Induk</t>
  </si>
  <si>
    <t>Konsentrat Pejantan</t>
  </si>
  <si>
    <t>Konsentrat Penggemukan</t>
  </si>
  <si>
    <t>Konsentrat Sapi Induk</t>
  </si>
  <si>
    <t>BB(kg)</t>
  </si>
  <si>
    <t>PBBH(kg)</t>
  </si>
  <si>
    <t>BK (kg)</t>
  </si>
  <si>
    <t>Hijauan(%)</t>
  </si>
  <si>
    <t>PK (%)</t>
  </si>
  <si>
    <t>TDN(%)</t>
  </si>
  <si>
    <t>Ca (%)</t>
  </si>
  <si>
    <t>P (%)</t>
  </si>
  <si>
    <t>70-80</t>
  </si>
  <si>
    <t>50-60</t>
  </si>
  <si>
    <t>55-65</t>
  </si>
  <si>
    <t>20-25</t>
  </si>
  <si>
    <t>35-45</t>
  </si>
  <si>
    <t>Kebutuhan Nutrien Sapi Pertumbuhan</t>
  </si>
  <si>
    <t>Ransum Sapi Pertumbuhan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</si>
</sst>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#,##0.0"/>
    <numFmt numFmtId="168" formatCode="_(* #,##0_);_(* \(#,##0\);_(* &quot;-&quot;??_);_(@_)"/>
  </numFmts>
  <fonts count="40" x14ac:knownFonts="1">
    <font>
      <sz val="10"/>
      <name val="Arial"/>
      <charset val="1"/>
    </font>
    <font>
      <b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FF0000"/>
      <name val="Arial"/>
      <family val="2"/>
    </font>
    <font>
      <sz val="14"/>
      <color rgb="FFFF0000"/>
      <name val="Arial"/>
      <family val="2"/>
    </font>
    <font>
      <b/>
      <sz val="20"/>
      <color theme="3" tint="0.39997558519241921"/>
      <name val="Arial"/>
      <family val="2"/>
    </font>
    <font>
      <sz val="10"/>
      <color rgb="FFFF000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26"/>
      <color rgb="FF336600"/>
      <name val="Aharoni"/>
    </font>
    <font>
      <sz val="26"/>
      <color rgb="FF336600"/>
      <name val="Aharoni"/>
    </font>
    <font>
      <sz val="11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b/>
      <sz val="16"/>
      <color rgb="FFFF0000"/>
      <name val="Arial"/>
      <family val="2"/>
    </font>
    <font>
      <b/>
      <sz val="10"/>
      <color rgb="FFFF3300"/>
      <name val="Arial"/>
      <family val="2"/>
    </font>
    <font>
      <b/>
      <sz val="13"/>
      <name val="Arial"/>
      <family val="2"/>
    </font>
    <font>
      <b/>
      <sz val="11"/>
      <color theme="0"/>
      <name val="Arial"/>
      <family val="2"/>
    </font>
    <font>
      <sz val="9"/>
      <color rgb="FF333399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3"/>
      <color rgb="FF0070C0"/>
      <name val="Arial"/>
      <family val="2"/>
    </font>
    <font>
      <sz val="13"/>
      <color rgb="FF0070C0"/>
      <name val="Arial"/>
      <family val="2"/>
    </font>
    <font>
      <sz val="12"/>
      <color rgb="FF0070C0"/>
      <name val="Arial"/>
      <family val="2"/>
    </font>
    <font>
      <b/>
      <sz val="18"/>
      <color rgb="FF008000"/>
      <name val="Aharoni"/>
    </font>
    <font>
      <sz val="10"/>
      <name val="Arial"/>
      <family val="2"/>
    </font>
    <font>
      <sz val="9"/>
      <color theme="3" tint="0.39997558519241921"/>
      <name val="Arial"/>
      <family val="2"/>
    </font>
    <font>
      <sz val="11"/>
      <name val="Calibri"/>
      <family val="2"/>
    </font>
    <font>
      <sz val="10"/>
      <color theme="0"/>
      <name val="Arial"/>
      <family val="2"/>
    </font>
    <font>
      <b/>
      <sz val="23"/>
      <color rgb="FF336600"/>
      <name val="Aharoni"/>
    </font>
    <font>
      <sz val="23"/>
      <color rgb="FF336600"/>
      <name val="Aharoni"/>
    </font>
    <font>
      <sz val="10"/>
      <color rgb="FF333333"/>
      <name val="Arial"/>
      <family val="2"/>
    </font>
    <font>
      <sz val="10"/>
      <color rgb="FF777777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43" fontId="32" fillId="0" borderId="0" applyFont="0" applyFill="0" applyBorder="0" applyAlignment="0" applyProtection="0"/>
  </cellStyleXfs>
  <cellXfs count="152">
    <xf numFmtId="0" fontId="0" fillId="0" borderId="0" xfId="0"/>
    <xf numFmtId="0" fontId="10" fillId="0" borderId="0" xfId="0" applyFont="1"/>
    <xf numFmtId="0" fontId="11" fillId="0" borderId="0" xfId="0" applyFont="1"/>
    <xf numFmtId="0" fontId="8" fillId="3" borderId="1" xfId="0" applyFont="1" applyFill="1" applyBorder="1" applyAlignment="1" applyProtection="1">
      <alignment horizontal="right" vertical="center"/>
    </xf>
    <xf numFmtId="0" fontId="16" fillId="3" borderId="0" xfId="0" applyFont="1" applyFill="1" applyAlignment="1" applyProtection="1">
      <alignment horizontal="left"/>
    </xf>
    <xf numFmtId="0" fontId="3" fillId="3" borderId="0" xfId="0" applyFont="1" applyFill="1" applyProtection="1"/>
    <xf numFmtId="0" fontId="3" fillId="3" borderId="0" xfId="0" applyFont="1" applyFill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1" fillId="3" borderId="0" xfId="0" applyFont="1" applyFill="1" applyProtection="1"/>
    <xf numFmtId="0" fontId="1" fillId="3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right" vertical="center"/>
    </xf>
    <xf numFmtId="0" fontId="1" fillId="3" borderId="0" xfId="0" applyFont="1" applyFill="1" applyAlignment="1" applyProtection="1">
      <alignment vertical="center"/>
    </xf>
    <xf numFmtId="165" fontId="1" fillId="3" borderId="0" xfId="0" applyNumberFormat="1" applyFont="1" applyFill="1" applyAlignment="1" applyProtection="1">
      <alignment horizontal="right" vertical="center"/>
    </xf>
    <xf numFmtId="165" fontId="3" fillId="3" borderId="0" xfId="0" applyNumberFormat="1" applyFont="1" applyFill="1" applyAlignment="1" applyProtection="1">
      <alignment horizontal="right" vertical="center"/>
    </xf>
    <xf numFmtId="0" fontId="3" fillId="3" borderId="0" xfId="0" applyFont="1" applyFill="1" applyAlignment="1" applyProtection="1">
      <alignment vertical="center"/>
    </xf>
    <xf numFmtId="165" fontId="3" fillId="3" borderId="0" xfId="0" applyNumberFormat="1" applyFont="1" applyFill="1" applyAlignment="1" applyProtection="1">
      <alignment horizontal="right"/>
    </xf>
    <xf numFmtId="165" fontId="18" fillId="3" borderId="0" xfId="0" applyNumberFormat="1" applyFont="1" applyFill="1" applyAlignment="1" applyProtection="1">
      <alignment horizontal="right"/>
    </xf>
    <xf numFmtId="0" fontId="8" fillId="3" borderId="0" xfId="0" applyFont="1" applyFill="1" applyAlignment="1" applyProtection="1">
      <alignment horizontal="right"/>
    </xf>
    <xf numFmtId="0" fontId="8" fillId="3" borderId="0" xfId="0" applyFont="1" applyFill="1" applyProtection="1"/>
    <xf numFmtId="165" fontId="8" fillId="3" borderId="0" xfId="0" applyNumberFormat="1" applyFont="1" applyFill="1" applyAlignment="1" applyProtection="1">
      <alignment horizontal="right"/>
    </xf>
    <xf numFmtId="0" fontId="8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left"/>
    </xf>
    <xf numFmtId="0" fontId="3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vertical="center"/>
    </xf>
    <xf numFmtId="0" fontId="5" fillId="3" borderId="0" xfId="0" applyFont="1" applyFill="1" applyAlignment="1" applyProtection="1">
      <alignment vertical="center"/>
    </xf>
    <xf numFmtId="0" fontId="15" fillId="4" borderId="1" xfId="0" applyFont="1" applyFill="1" applyBorder="1" applyAlignment="1" applyProtection="1">
      <alignment horizontal="center" vertical="center"/>
      <protection hidden="1"/>
    </xf>
    <xf numFmtId="0" fontId="15" fillId="4" borderId="1" xfId="0" applyFont="1" applyFill="1" applyBorder="1" applyAlignment="1" applyProtection="1">
      <alignment vertical="center"/>
      <protection hidden="1"/>
    </xf>
    <xf numFmtId="0" fontId="8" fillId="0" borderId="1" xfId="0" applyFont="1" applyFill="1" applyBorder="1" applyAlignment="1" applyProtection="1">
      <alignment horizontal="left" vertical="center"/>
      <protection locked="0" hidden="1"/>
    </xf>
    <xf numFmtId="0" fontId="8" fillId="0" borderId="2" xfId="0" applyFont="1" applyFill="1" applyBorder="1" applyAlignment="1" applyProtection="1">
      <alignment horizontal="left" vertical="center"/>
    </xf>
    <xf numFmtId="0" fontId="8" fillId="0" borderId="1" xfId="0" applyFont="1" applyFill="1" applyBorder="1" applyAlignment="1" applyProtection="1">
      <alignment horizontal="center" vertical="center"/>
    </xf>
    <xf numFmtId="2" fontId="9" fillId="0" borderId="1" xfId="0" applyNumberFormat="1" applyFont="1" applyFill="1" applyBorder="1" applyAlignment="1" applyProtection="1">
      <alignment horizontal="right" vertical="center"/>
    </xf>
    <xf numFmtId="4" fontId="9" fillId="0" borderId="1" xfId="0" applyNumberFormat="1" applyFont="1" applyFill="1" applyBorder="1" applyAlignment="1" applyProtection="1">
      <alignment horizontal="right" vertical="center"/>
    </xf>
    <xf numFmtId="4" fontId="9" fillId="0" borderId="1" xfId="0" applyNumberFormat="1" applyFont="1" applyFill="1" applyBorder="1" applyAlignment="1" applyProtection="1">
      <alignment horizontal="right"/>
    </xf>
    <xf numFmtId="1" fontId="9" fillId="0" borderId="1" xfId="0" applyNumberFormat="1" applyFont="1" applyFill="1" applyBorder="1" applyAlignment="1" applyProtection="1">
      <alignment horizontal="right"/>
    </xf>
    <xf numFmtId="2" fontId="9" fillId="0" borderId="1" xfId="0" applyNumberFormat="1" applyFont="1" applyFill="1" applyBorder="1" applyAlignment="1" applyProtection="1">
      <alignment horizontal="right"/>
    </xf>
    <xf numFmtId="0" fontId="15" fillId="4" borderId="2" xfId="0" applyFont="1" applyFill="1" applyBorder="1" applyAlignment="1" applyProtection="1">
      <alignment horizontal="left" vertical="center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right" vertical="center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2" fontId="13" fillId="2" borderId="1" xfId="0" applyNumberFormat="1" applyFont="1" applyFill="1" applyBorder="1" applyAlignment="1" applyProtection="1">
      <alignment horizontal="right" vertical="center"/>
      <protection locked="0"/>
    </xf>
    <xf numFmtId="0" fontId="20" fillId="3" borderId="0" xfId="1" applyFont="1" applyFill="1" applyAlignment="1" applyProtection="1">
      <alignment horizontal="left"/>
    </xf>
    <xf numFmtId="0" fontId="15" fillId="4" borderId="1" xfId="0" applyFont="1" applyFill="1" applyBorder="1" applyAlignment="1">
      <alignment horizontal="right" vertical="center"/>
    </xf>
    <xf numFmtId="0" fontId="3" fillId="3" borderId="0" xfId="0" applyFont="1" applyFill="1" applyAlignment="1" applyProtection="1">
      <alignment horizontal="right" vertical="center"/>
    </xf>
    <xf numFmtId="0" fontId="15" fillId="4" borderId="1" xfId="0" applyFont="1" applyFill="1" applyBorder="1" applyAlignment="1" applyProtection="1">
      <alignment horizontal="right" vertical="center"/>
      <protection hidden="1"/>
    </xf>
    <xf numFmtId="0" fontId="8" fillId="0" borderId="1" xfId="0" applyFont="1" applyFill="1" applyBorder="1" applyAlignment="1" applyProtection="1">
      <alignment horizontal="right" vertical="center"/>
      <protection locked="0" hidden="1"/>
    </xf>
    <xf numFmtId="2" fontId="3" fillId="0" borderId="1" xfId="0" applyNumberFormat="1" applyFont="1" applyFill="1" applyBorder="1" applyAlignment="1" applyProtection="1">
      <alignment horizontal="right" vertical="center"/>
    </xf>
    <xf numFmtId="0" fontId="13" fillId="2" borderId="1" xfId="0" applyFont="1" applyFill="1" applyBorder="1" applyAlignment="1" applyProtection="1">
      <alignment horizontal="right" vertical="center"/>
      <protection locked="0"/>
    </xf>
    <xf numFmtId="0" fontId="8" fillId="3" borderId="0" xfId="0" applyFont="1" applyFill="1" applyAlignment="1" applyProtection="1">
      <alignment horizontal="right" vertical="center"/>
    </xf>
    <xf numFmtId="164" fontId="8" fillId="3" borderId="1" xfId="0" applyNumberFormat="1" applyFont="1" applyFill="1" applyBorder="1" applyAlignment="1" applyProtection="1">
      <alignment horizontal="right" vertical="center"/>
    </xf>
    <xf numFmtId="2" fontId="3" fillId="3" borderId="1" xfId="0" applyNumberFormat="1" applyFont="1" applyFill="1" applyBorder="1" applyAlignment="1" applyProtection="1">
      <alignment horizontal="right" vertical="center"/>
    </xf>
    <xf numFmtId="0" fontId="3" fillId="3" borderId="1" xfId="0" applyFont="1" applyFill="1" applyBorder="1" applyAlignment="1" applyProtection="1">
      <alignment horizontal="right" vertical="center"/>
    </xf>
    <xf numFmtId="165" fontId="3" fillId="3" borderId="1" xfId="0" applyNumberFormat="1" applyFont="1" applyFill="1" applyBorder="1" applyAlignment="1" applyProtection="1">
      <alignment horizontal="right" vertical="center"/>
    </xf>
    <xf numFmtId="164" fontId="3" fillId="3" borderId="1" xfId="0" applyNumberFormat="1" applyFont="1" applyFill="1" applyBorder="1" applyAlignment="1" applyProtection="1">
      <alignment horizontal="right" vertical="center"/>
    </xf>
    <xf numFmtId="2" fontId="8" fillId="0" borderId="1" xfId="0" applyNumberFormat="1" applyFont="1" applyFill="1" applyBorder="1" applyAlignment="1" applyProtection="1">
      <alignment horizontal="right" vertical="center"/>
      <protection locked="0" hidden="1"/>
    </xf>
    <xf numFmtId="0" fontId="14" fillId="4" borderId="1" xfId="0" applyFont="1" applyFill="1" applyBorder="1" applyAlignment="1" applyProtection="1">
      <alignment horizontal="center" vertical="center"/>
    </xf>
    <xf numFmtId="0" fontId="14" fillId="4" borderId="1" xfId="0" applyFont="1" applyFill="1" applyBorder="1" applyAlignment="1" applyProtection="1">
      <alignment vertical="center"/>
    </xf>
    <xf numFmtId="0" fontId="14" fillId="4" borderId="1" xfId="0" applyFont="1" applyFill="1" applyBorder="1" applyAlignment="1" applyProtection="1">
      <alignment horizontal="right" vertical="center"/>
    </xf>
    <xf numFmtId="0" fontId="8" fillId="0" borderId="1" xfId="0" applyFont="1" applyFill="1" applyBorder="1" applyAlignment="1" applyProtection="1">
      <alignment horizontal="left" vertical="center"/>
    </xf>
    <xf numFmtId="2" fontId="6" fillId="0" borderId="1" xfId="0" applyNumberFormat="1" applyFont="1" applyFill="1" applyBorder="1" applyAlignment="1" applyProtection="1">
      <alignment horizontal="right" vertical="center"/>
    </xf>
    <xf numFmtId="3" fontId="8" fillId="0" borderId="1" xfId="0" applyNumberFormat="1" applyFont="1" applyFill="1" applyBorder="1" applyAlignment="1" applyProtection="1">
      <alignment horizontal="right" vertical="center"/>
    </xf>
    <xf numFmtId="164" fontId="8" fillId="0" borderId="1" xfId="0" applyNumberFormat="1" applyFont="1" applyFill="1" applyBorder="1" applyAlignment="1" applyProtection="1">
      <alignment horizontal="right" vertical="center"/>
    </xf>
    <xf numFmtId="0" fontId="15" fillId="4" borderId="1" xfId="0" applyFont="1" applyFill="1" applyBorder="1" applyAlignment="1" applyProtection="1">
      <alignment vertical="center"/>
    </xf>
    <xf numFmtId="2" fontId="15" fillId="4" borderId="1" xfId="0" applyNumberFormat="1" applyFont="1" applyFill="1" applyBorder="1" applyAlignment="1" applyProtection="1">
      <alignment horizontal="right" vertical="center"/>
    </xf>
    <xf numFmtId="3" fontId="15" fillId="4" borderId="1" xfId="0" applyNumberFormat="1" applyFont="1" applyFill="1" applyBorder="1" applyAlignment="1" applyProtection="1">
      <alignment horizontal="right" vertical="center"/>
    </xf>
    <xf numFmtId="167" fontId="15" fillId="4" borderId="1" xfId="0" applyNumberFormat="1" applyFont="1" applyFill="1" applyBorder="1" applyAlignment="1" applyProtection="1">
      <alignment horizontal="right" vertical="center"/>
    </xf>
    <xf numFmtId="4" fontId="15" fillId="4" borderId="1" xfId="0" applyNumberFormat="1" applyFont="1" applyFill="1" applyBorder="1" applyAlignment="1" applyProtection="1">
      <alignment horizontal="right" vertical="center"/>
    </xf>
    <xf numFmtId="1" fontId="15" fillId="4" borderId="1" xfId="0" applyNumberFormat="1" applyFont="1" applyFill="1" applyBorder="1" applyAlignment="1" applyProtection="1">
      <alignment horizontal="right" vertical="center"/>
    </xf>
    <xf numFmtId="165" fontId="15" fillId="4" borderId="1" xfId="0" applyNumberFormat="1" applyFont="1" applyFill="1" applyBorder="1" applyAlignment="1" applyProtection="1">
      <alignment horizontal="right" vertical="center"/>
    </xf>
    <xf numFmtId="164" fontId="14" fillId="4" borderId="1" xfId="0" applyNumberFormat="1" applyFont="1" applyFill="1" applyBorder="1" applyAlignment="1" applyProtection="1">
      <alignment horizontal="right" vertical="center"/>
    </xf>
    <xf numFmtId="0" fontId="8" fillId="3" borderId="0" xfId="0" applyFont="1" applyFill="1" applyAlignment="1" applyProtection="1">
      <alignment horizontal="left"/>
    </xf>
    <xf numFmtId="0" fontId="3" fillId="3" borderId="0" xfId="0" applyFont="1" applyFill="1" applyAlignment="1" applyProtection="1">
      <alignment horizontal="right" vertical="top"/>
    </xf>
    <xf numFmtId="0" fontId="22" fillId="3" borderId="0" xfId="0" applyFont="1" applyFill="1" applyAlignment="1" applyProtection="1">
      <alignment horizontal="left" vertical="top"/>
    </xf>
    <xf numFmtId="0" fontId="5" fillId="3" borderId="0" xfId="0" applyFont="1" applyFill="1" applyAlignment="1" applyProtection="1">
      <alignment horizontal="left" vertical="center"/>
    </xf>
    <xf numFmtId="3" fontId="6" fillId="5" borderId="1" xfId="0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 applyAlignment="1" applyProtection="1">
      <alignment horizontal="left" vertical="center"/>
    </xf>
    <xf numFmtId="0" fontId="6" fillId="5" borderId="1" xfId="0" applyFont="1" applyFill="1" applyBorder="1" applyAlignment="1" applyProtection="1">
      <alignment horizontal="center" vertical="center"/>
    </xf>
    <xf numFmtId="22" fontId="8" fillId="3" borderId="0" xfId="0" applyNumberFormat="1" applyFont="1" applyFill="1" applyAlignment="1" applyProtection="1">
      <alignment horizontal="right"/>
    </xf>
    <xf numFmtId="22" fontId="26" fillId="3" borderId="0" xfId="0" applyNumberFormat="1" applyFont="1" applyFill="1" applyAlignment="1" applyProtection="1">
      <alignment horizontal="left"/>
    </xf>
    <xf numFmtId="0" fontId="27" fillId="3" borderId="0" xfId="0" applyFont="1" applyFill="1" applyProtection="1"/>
    <xf numFmtId="0" fontId="29" fillId="3" borderId="0" xfId="0" applyFont="1" applyFill="1" applyProtection="1"/>
    <xf numFmtId="0" fontId="29" fillId="3" borderId="0" xfId="0" applyFont="1" applyFill="1" applyAlignment="1" applyProtection="1">
      <alignment horizontal="left"/>
    </xf>
    <xf numFmtId="0" fontId="30" fillId="3" borderId="0" xfId="0" applyFont="1" applyFill="1" applyAlignment="1" applyProtection="1">
      <alignment horizontal="left"/>
    </xf>
    <xf numFmtId="0" fontId="16" fillId="0" borderId="0" xfId="0" applyFont="1" applyFill="1" applyAlignment="1" applyProtection="1">
      <alignment horizontal="left"/>
    </xf>
    <xf numFmtId="0" fontId="22" fillId="0" borderId="0" xfId="0" applyFont="1" applyFill="1" applyAlignment="1" applyProtection="1">
      <alignment horizontal="left" vertical="top"/>
    </xf>
    <xf numFmtId="0" fontId="25" fillId="0" borderId="1" xfId="0" applyFont="1" applyFill="1" applyBorder="1" applyAlignment="1" applyProtection="1">
      <alignment horizontal="right" vertical="center"/>
    </xf>
    <xf numFmtId="0" fontId="34" fillId="0" borderId="1" xfId="0" applyFont="1" applyBorder="1" applyAlignment="1">
      <alignment horizontal="center" vertical="center"/>
    </xf>
    <xf numFmtId="0" fontId="3" fillId="7" borderId="0" xfId="0" applyFont="1" applyFill="1" applyProtection="1"/>
    <xf numFmtId="0" fontId="16" fillId="7" borderId="0" xfId="0" applyFont="1" applyFill="1" applyAlignment="1" applyProtection="1">
      <alignment horizontal="left"/>
    </xf>
    <xf numFmtId="0" fontId="22" fillId="7" borderId="0" xfId="0" applyFont="1" applyFill="1" applyAlignment="1" applyProtection="1">
      <alignment horizontal="left" vertical="top"/>
    </xf>
    <xf numFmtId="0" fontId="28" fillId="7" borderId="0" xfId="0" applyFont="1" applyFill="1" applyAlignment="1" applyProtection="1">
      <alignment horizontal="left"/>
    </xf>
    <xf numFmtId="0" fontId="29" fillId="7" borderId="0" xfId="0" applyFont="1" applyFill="1" applyProtection="1"/>
    <xf numFmtId="0" fontId="2" fillId="7" borderId="0" xfId="0" applyFont="1" applyFill="1" applyAlignment="1">
      <alignment horizontal="left" vertical="center"/>
    </xf>
    <xf numFmtId="0" fontId="29" fillId="7" borderId="0" xfId="0" applyFont="1" applyFill="1" applyAlignment="1" applyProtection="1">
      <alignment horizontal="left"/>
    </xf>
    <xf numFmtId="0" fontId="27" fillId="7" borderId="0" xfId="0" applyFont="1" applyFill="1" applyProtection="1"/>
    <xf numFmtId="0" fontId="23" fillId="7" borderId="0" xfId="0" applyFont="1" applyFill="1" applyAlignment="1">
      <alignment horizontal="left" vertical="center"/>
    </xf>
    <xf numFmtId="0" fontId="3" fillId="7" borderId="0" xfId="0" applyFont="1" applyFill="1" applyAlignment="1" applyProtection="1">
      <alignment vertical="center"/>
    </xf>
    <xf numFmtId="0" fontId="1" fillId="7" borderId="0" xfId="0" applyFont="1" applyFill="1" applyProtection="1"/>
    <xf numFmtId="0" fontId="3" fillId="7" borderId="0" xfId="0" applyFont="1" applyFill="1" applyAlignment="1" applyProtection="1">
      <alignment horizontal="right"/>
    </xf>
    <xf numFmtId="0" fontId="15" fillId="6" borderId="5" xfId="0" applyFont="1" applyFill="1" applyBorder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9" fillId="8" borderId="3" xfId="0" applyFont="1" applyFill="1" applyBorder="1" applyAlignment="1" applyProtection="1">
      <alignment horizontal="left" vertical="center"/>
    </xf>
    <xf numFmtId="0" fontId="19" fillId="8" borderId="4" xfId="0" applyFont="1" applyFill="1" applyBorder="1" applyAlignment="1" applyProtection="1">
      <alignment horizontal="center" vertical="center"/>
    </xf>
    <xf numFmtId="164" fontId="33" fillId="8" borderId="5" xfId="0" applyNumberFormat="1" applyFont="1" applyFill="1" applyBorder="1" applyAlignment="1" applyProtection="1">
      <alignment horizontal="center" vertical="center"/>
    </xf>
    <xf numFmtId="0" fontId="33" fillId="8" borderId="6" xfId="0" applyFont="1" applyFill="1" applyBorder="1" applyAlignment="1" applyProtection="1">
      <alignment horizontal="center" vertical="center"/>
    </xf>
    <xf numFmtId="0" fontId="33" fillId="8" borderId="5" xfId="0" applyFont="1" applyFill="1" applyBorder="1" applyAlignment="1" applyProtection="1">
      <alignment horizontal="center" vertical="center"/>
    </xf>
    <xf numFmtId="164" fontId="33" fillId="8" borderId="6" xfId="0" applyNumberFormat="1" applyFont="1" applyFill="1" applyBorder="1" applyAlignment="1" applyProtection="1">
      <alignment horizontal="center" vertical="center"/>
    </xf>
    <xf numFmtId="2" fontId="33" fillId="8" borderId="5" xfId="0" applyNumberFormat="1" applyFont="1" applyFill="1" applyBorder="1" applyAlignment="1" applyProtection="1">
      <alignment horizontal="center" vertical="center"/>
    </xf>
    <xf numFmtId="2" fontId="33" fillId="8" borderId="6" xfId="0" applyNumberFormat="1" applyFont="1" applyFill="1" applyBorder="1" applyAlignment="1" applyProtection="1">
      <alignment horizontal="center" vertical="center"/>
    </xf>
    <xf numFmtId="0" fontId="3" fillId="7" borderId="0" xfId="0" applyFont="1" applyFill="1" applyAlignment="1" applyProtection="1">
      <alignment horizontal="center"/>
    </xf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left"/>
    </xf>
    <xf numFmtId="165" fontId="3" fillId="7" borderId="0" xfId="0" applyNumberFormat="1" applyFont="1" applyFill="1" applyAlignment="1">
      <alignment horizontal="center"/>
    </xf>
    <xf numFmtId="0" fontId="24" fillId="6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center" vertical="center"/>
    </xf>
    <xf numFmtId="3" fontId="9" fillId="8" borderId="1" xfId="0" applyNumberFormat="1" applyFont="1" applyFill="1" applyBorder="1" applyAlignment="1">
      <alignment horizontal="center"/>
    </xf>
    <xf numFmtId="164" fontId="8" fillId="8" borderId="1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168" fontId="8" fillId="8" borderId="1" xfId="2" applyNumberFormat="1" applyFont="1" applyFill="1" applyBorder="1" applyAlignment="1">
      <alignment horizontal="center" vertical="center"/>
    </xf>
    <xf numFmtId="165" fontId="8" fillId="8" borderId="1" xfId="0" applyNumberFormat="1" applyFont="1" applyFill="1" applyBorder="1" applyAlignment="1">
      <alignment horizontal="center"/>
    </xf>
    <xf numFmtId="166" fontId="8" fillId="8" borderId="1" xfId="0" applyNumberFormat="1" applyFont="1" applyFill="1" applyBorder="1" applyAlignment="1">
      <alignment horizontal="center"/>
    </xf>
    <xf numFmtId="0" fontId="8" fillId="8" borderId="1" xfId="0" applyFont="1" applyFill="1" applyBorder="1"/>
    <xf numFmtId="0" fontId="25" fillId="8" borderId="1" xfId="0" applyFont="1" applyFill="1" applyBorder="1" applyAlignment="1">
      <alignment horizontal="center"/>
    </xf>
    <xf numFmtId="0" fontId="36" fillId="3" borderId="0" xfId="0" applyFont="1" applyFill="1" applyAlignment="1" applyProtection="1">
      <alignment horizontal="left"/>
    </xf>
    <xf numFmtId="0" fontId="3" fillId="0" borderId="1" xfId="1" applyFont="1" applyFill="1" applyBorder="1"/>
    <xf numFmtId="3" fontId="12" fillId="0" borderId="1" xfId="1" applyNumberFormat="1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2" fontId="3" fillId="0" borderId="1" xfId="1" applyNumberFormat="1" applyFont="1" applyFill="1" applyBorder="1" applyAlignment="1">
      <alignment horizontal="center"/>
    </xf>
    <xf numFmtId="165" fontId="3" fillId="0" borderId="1" xfId="1" applyNumberFormat="1" applyFon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3" fillId="7" borderId="0" xfId="0" applyFont="1" applyFill="1" applyAlignment="1" applyProtection="1">
      <alignment horizontal="center" vertical="center"/>
    </xf>
    <xf numFmtId="0" fontId="35" fillId="6" borderId="1" xfId="0" applyFont="1" applyFill="1" applyBorder="1" applyAlignment="1">
      <alignment horizontal="center" vertical="center" wrapText="1"/>
    </xf>
    <xf numFmtId="0" fontId="38" fillId="10" borderId="1" xfId="0" applyFont="1" applyFill="1" applyBorder="1" applyAlignment="1">
      <alignment horizontal="center" vertical="center" wrapText="1"/>
    </xf>
    <xf numFmtId="0" fontId="38" fillId="9" borderId="1" xfId="0" applyFont="1" applyFill="1" applyBorder="1" applyAlignment="1">
      <alignment horizontal="center" vertical="center" wrapText="1"/>
    </xf>
    <xf numFmtId="0" fontId="39" fillId="10" borderId="1" xfId="0" applyFont="1" applyFill="1" applyBorder="1" applyAlignment="1">
      <alignment horizontal="center" vertical="center" wrapText="1"/>
    </xf>
    <xf numFmtId="0" fontId="39" fillId="9" borderId="1" xfId="0" applyFont="1" applyFill="1" applyBorder="1" applyAlignment="1">
      <alignment horizontal="center" vertical="center" wrapText="1"/>
    </xf>
    <xf numFmtId="164" fontId="9" fillId="0" borderId="1" xfId="0" applyNumberFormat="1" applyFont="1" applyFill="1" applyBorder="1" applyAlignment="1" applyProtection="1">
      <alignment horizontal="right"/>
    </xf>
    <xf numFmtId="0" fontId="15" fillId="6" borderId="5" xfId="0" applyFont="1" applyFill="1" applyBorder="1" applyAlignment="1" applyProtection="1">
      <alignment horizontal="center" vertical="center"/>
    </xf>
    <xf numFmtId="0" fontId="35" fillId="6" borderId="6" xfId="0" applyFont="1" applyFill="1" applyBorder="1" applyAlignment="1">
      <alignment horizontal="center" vertical="center"/>
    </xf>
    <xf numFmtId="0" fontId="15" fillId="6" borderId="3" xfId="0" applyFont="1" applyFill="1" applyBorder="1" applyAlignment="1" applyProtection="1">
      <alignment horizontal="left" vertical="center"/>
    </xf>
    <xf numFmtId="0" fontId="35" fillId="6" borderId="3" xfId="0" applyFont="1" applyFill="1" applyBorder="1" applyAlignment="1">
      <alignment horizontal="left" vertical="center"/>
    </xf>
    <xf numFmtId="0" fontId="15" fillId="6" borderId="7" xfId="0" applyFont="1" applyFill="1" applyBorder="1" applyAlignment="1" applyProtection="1">
      <alignment horizontal="center" vertical="center"/>
    </xf>
    <xf numFmtId="0" fontId="35" fillId="6" borderId="8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_Bahan Makanan Sapi" xfId="1"/>
  </cellStyles>
  <dxfs count="0"/>
  <tableStyles count="0" defaultTableStyle="TableStyleMedium9" defaultPivotStyle="PivotStyleLight16"/>
  <colors>
    <mruColors>
      <color rgb="FFFFFF99"/>
      <color rgb="FFCCFFCC"/>
      <color rgb="FFCCFF99"/>
      <color rgb="FF333399"/>
      <color rgb="FFFF9900"/>
      <color rgb="FFFFCC66"/>
      <color rgb="FF008000"/>
      <color rgb="FFFF3300"/>
      <color rgb="FF663300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RANSUM!$W$28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cat>
            <c:multiLvlStrRef>
              <c:f>Penggemukan!$B$7:$B$21</c:f>
            </c:multiLvlStrRef>
          </c:cat>
          <c:val>
            <c:numRef>
              <c:f>RANSUM!$G$7:$G$21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9153152"/>
        <c:axId val="199065600"/>
        <c:axId val="0"/>
      </c:bar3DChart>
      <c:catAx>
        <c:axId val="199153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9065600"/>
        <c:crosses val="autoZero"/>
        <c:auto val="1"/>
        <c:lblAlgn val="ctr"/>
        <c:lblOffset val="100"/>
        <c:noMultiLvlLbl val="0"/>
      </c:catAx>
      <c:valAx>
        <c:axId val="19906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99153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Penggemukan!$W$28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cat>
            <c:multiLvlStrRef>
              <c:f>Penggemukan!$B$7:$B$21</c:f>
            </c:multiLvlStrRef>
          </c:cat>
          <c:val>
            <c:numRef>
              <c:f>Penggemukan!$G$7:$G$21</c:f>
              <c:numCache>
                <c:formatCode>0.00</c:formatCode>
                <c:ptCount val="15"/>
                <c:pt idx="0">
                  <c:v>20</c:v>
                </c:pt>
                <c:pt idx="1">
                  <c:v>10</c:v>
                </c:pt>
                <c:pt idx="2">
                  <c:v>20</c:v>
                </c:pt>
                <c:pt idx="3">
                  <c:v>11.178794916978321</c:v>
                </c:pt>
                <c:pt idx="4">
                  <c:v>16.706812579095136</c:v>
                </c:pt>
                <c:pt idx="5">
                  <c:v>15.306085483192046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1.8083070207345058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9155200"/>
        <c:axId val="199068480"/>
        <c:axId val="0"/>
      </c:bar3DChart>
      <c:catAx>
        <c:axId val="19915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9068480"/>
        <c:crosses val="autoZero"/>
        <c:auto val="1"/>
        <c:lblAlgn val="ctr"/>
        <c:lblOffset val="100"/>
        <c:noMultiLvlLbl val="0"/>
      </c:catAx>
      <c:valAx>
        <c:axId val="199068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9915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'Sapi Induk'!$W$28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cat>
            <c:multiLvlStrRef>
              <c:f>Penggemukan!$B$7:$B$21</c:f>
            </c:multiLvlStrRef>
          </c:cat>
          <c:val>
            <c:numRef>
              <c:f>'Sapi Induk'!$G$7:$G$21</c:f>
              <c:numCache>
                <c:formatCode>0.00</c:formatCode>
                <c:ptCount val="15"/>
                <c:pt idx="0">
                  <c:v>8.4989749738908564</c:v>
                </c:pt>
                <c:pt idx="1">
                  <c:v>10</c:v>
                </c:pt>
                <c:pt idx="2">
                  <c:v>40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2.7310563570958837</c:v>
                </c:pt>
                <c:pt idx="8">
                  <c:v>5</c:v>
                </c:pt>
                <c:pt idx="9">
                  <c:v>0.96416089510125058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9611904"/>
        <c:axId val="199071360"/>
        <c:axId val="0"/>
      </c:bar3DChart>
      <c:catAx>
        <c:axId val="19961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9071360"/>
        <c:crosses val="autoZero"/>
        <c:auto val="1"/>
        <c:lblAlgn val="ctr"/>
        <c:lblOffset val="100"/>
        <c:noMultiLvlLbl val="0"/>
      </c:catAx>
      <c:valAx>
        <c:axId val="199071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9961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'Sapi Pertumbuhan'!$W$28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cat>
            <c:multiLvlStrRef>
              <c:f>Penggemukan!$B$7:$B$21</c:f>
            </c:multiLvlStrRef>
          </c:cat>
          <c:val>
            <c:numRef>
              <c:f>'Sapi Pertumbuhan'!$G$7:$G$21</c:f>
              <c:numCache>
                <c:formatCode>0.00</c:formatCode>
                <c:ptCount val="15"/>
                <c:pt idx="0">
                  <c:v>5.6109381354100885</c:v>
                </c:pt>
                <c:pt idx="1">
                  <c:v>30</c:v>
                </c:pt>
                <c:pt idx="2">
                  <c:v>16.142107090875921</c:v>
                </c:pt>
                <c:pt idx="3">
                  <c:v>27.722740789705274</c:v>
                </c:pt>
                <c:pt idx="4">
                  <c:v>14.087788550861919</c:v>
                </c:pt>
                <c:pt idx="5">
                  <c:v>0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9613952"/>
        <c:axId val="199934528"/>
        <c:axId val="0"/>
      </c:bar3DChart>
      <c:catAx>
        <c:axId val="19961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9934528"/>
        <c:crosses val="autoZero"/>
        <c:auto val="1"/>
        <c:lblAlgn val="ctr"/>
        <c:lblOffset val="100"/>
        <c:noMultiLvlLbl val="0"/>
      </c:catAx>
      <c:valAx>
        <c:axId val="199934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99613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186122</xdr:colOff>
      <xdr:row>4</xdr:row>
      <xdr:rowOff>176592</xdr:rowOff>
    </xdr:from>
    <xdr:to>
      <xdr:col>15</xdr:col>
      <xdr:colOff>164226</xdr:colOff>
      <xdr:row>28</xdr:row>
      <xdr:rowOff>64358</xdr:rowOff>
    </xdr:to>
    <xdr:sp macro="" textlink="">
      <xdr:nvSpPr>
        <xdr:cNvPr id="4" name="TextBox 2"/>
        <xdr:cNvSpPr txBox="1"/>
      </xdr:nvSpPr>
      <xdr:spPr>
        <a:xfrm>
          <a:off x="5025852" y="1116220"/>
          <a:ext cx="4212867" cy="41354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ea typeface="Times New Roman"/>
              <a:cs typeface="Times New Roman"/>
            </a:rPr>
            <a:t>CARA FORMULASI RANSUM:</a:t>
          </a:r>
          <a:endParaRPr lang="id-ID" sz="1200">
            <a:effectLst/>
            <a:latin typeface="Times New Roman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Tentukan jenis ransum yang akan disusun (mis. Ransum Pedet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, Growing, Induk atau Penggemukan, dll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).</a:t>
          </a:r>
          <a:endParaRPr lang="id-ID" sz="1800">
            <a:effectLst/>
            <a:latin typeface="+mn-lt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Pilih bahan pakan yang akan tersedia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</a:rPr>
            <a:t> 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dari </a:t>
          </a:r>
          <a:r>
            <a:rPr lang="id-ID" sz="1800" b="1">
              <a:solidFill>
                <a:srgbClr val="FF0000"/>
              </a:solidFill>
              <a:effectLst/>
              <a:latin typeface="+mn-lt"/>
              <a:ea typeface="Times New Roman"/>
            </a:rPr>
            <a:t>Tabel Bahan Pakan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Masukan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</a:rPr>
            <a:t> kebutuhan nutrien ternak di Tabel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Times New Roman"/>
            </a:rPr>
            <a:t>Komposisi Nutrien</a:t>
          </a:r>
          <a:r>
            <a:rPr lang="id-ID" sz="1800" b="0" baseline="0">
              <a:solidFill>
                <a:srgbClr val="000000"/>
              </a:solidFill>
              <a:effectLst/>
              <a:latin typeface="+mn-lt"/>
              <a:ea typeface="Times New Roman"/>
            </a:rPr>
            <a:t>, dapat juga dengan mencopy dari Tabel Kebetuhan Nutrien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effectLst/>
              <a:latin typeface="+mn-lt"/>
              <a:ea typeface="Times New Roman"/>
            </a:rPr>
            <a:t>Click</a:t>
          </a:r>
          <a:r>
            <a:rPr lang="id-ID" sz="1800" baseline="0">
              <a:effectLst/>
              <a:latin typeface="+mn-lt"/>
              <a:ea typeface="Times New Roman"/>
            </a:rPr>
            <a:t> icon FORMULATE </a:t>
          </a:r>
          <a:endParaRPr lang="id-ID" sz="1800">
            <a:effectLst/>
            <a:latin typeface="+mn-lt"/>
            <a:ea typeface="Times New Roman"/>
          </a:endParaRPr>
        </a:p>
      </xdr:txBody>
    </xdr:sp>
    <xdr:clientData/>
  </xdr:twoCellAnchor>
  <xdr:twoCellAnchor>
    <xdr:from>
      <xdr:col>1</xdr:col>
      <xdr:colOff>10948</xdr:colOff>
      <xdr:row>5</xdr:row>
      <xdr:rowOff>6</xdr:rowOff>
    </xdr:from>
    <xdr:to>
      <xdr:col>7</xdr:col>
      <xdr:colOff>602155</xdr:colOff>
      <xdr:row>28</xdr:row>
      <xdr:rowOff>51486</xdr:rowOff>
    </xdr:to>
    <xdr:sp macro="" textlink="">
      <xdr:nvSpPr>
        <xdr:cNvPr id="8" name="TextBox 2"/>
        <xdr:cNvSpPr txBox="1"/>
      </xdr:nvSpPr>
      <xdr:spPr>
        <a:xfrm>
          <a:off x="615914" y="1119837"/>
          <a:ext cx="4221005" cy="411891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  <a:cs typeface="Times New Roman"/>
            </a:rPr>
            <a:t>INFORMASI:</a:t>
          </a:r>
        </a:p>
        <a:p>
          <a:pPr>
            <a:spcAft>
              <a:spcPts val="0"/>
            </a:spcAft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Formulasi Ransum Unggas ini menggunakan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 SOLVER yang berbasis Linear Programming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(LP).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Penggunaan LP menghasilkan ransum dengan harga terendah (</a:t>
          </a:r>
          <a:r>
            <a:rPr lang="id-ID" sz="18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least cost ration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endParaRPr lang="id-ID" sz="1800" b="1">
            <a:solidFill>
              <a:srgbClr val="0070C0"/>
            </a:solidFill>
            <a:effectLst/>
            <a:latin typeface="+mn-lt"/>
            <a:ea typeface="Times New Roman"/>
            <a:cs typeface="Times New Roman"/>
          </a:endParaRPr>
        </a:p>
        <a:p>
          <a:pPr>
            <a:spcAft>
              <a:spcPts val="0"/>
            </a:spcAft>
          </a:pPr>
          <a:endParaRPr lang="id-ID" sz="1800">
            <a:effectLst/>
            <a:latin typeface="+mn-lt"/>
            <a:ea typeface="Times New Roman"/>
          </a:endParaRPr>
        </a:p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</a:rPr>
            <a:t>SETUP</a:t>
          </a:r>
          <a:r>
            <a:rPr lang="id-ID" sz="2200" b="1" baseline="0">
              <a:solidFill>
                <a:srgbClr val="0070C0"/>
              </a:solidFill>
              <a:effectLst/>
              <a:latin typeface="+mn-lt"/>
              <a:ea typeface="Times New Roman"/>
            </a:rPr>
            <a:t> SOLVER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Untuk menjalankan Excel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ini komputer harus terinstall PROGRAM SOLVER.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Cara Install Solver: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FILE,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OPTION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ADDS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Solver Add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OK. Selanjutnya Solver akan terinstall.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d-ID" sz="1800">
            <a:effectLst/>
          </a:endParaRPr>
        </a:p>
        <a:p>
          <a:pPr>
            <a:spcAft>
              <a:spcPts val="0"/>
            </a:spcAft>
          </a:pPr>
          <a:endParaRPr lang="id-ID" sz="2200" b="1">
            <a:solidFill>
              <a:srgbClr val="0070C0"/>
            </a:solidFill>
            <a:effectLst/>
            <a:latin typeface="+mn-lt"/>
            <a:ea typeface="Times New Roman"/>
          </a:endParaRPr>
        </a:p>
      </xdr:txBody>
    </xdr:sp>
    <xdr:clientData/>
  </xdr:twoCellAnchor>
  <xdr:twoCellAnchor editAs="oneCell">
    <xdr:from>
      <xdr:col>12</xdr:col>
      <xdr:colOff>549881</xdr:colOff>
      <xdr:row>21</xdr:row>
      <xdr:rowOff>6581</xdr:rowOff>
    </xdr:from>
    <xdr:to>
      <xdr:col>13</xdr:col>
      <xdr:colOff>473241</xdr:colOff>
      <xdr:row>23</xdr:row>
      <xdr:rowOff>135483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6506" y="3983269"/>
          <a:ext cx="530579" cy="474183"/>
        </a:xfrm>
        <a:prstGeom prst="rect">
          <a:avLst/>
        </a:prstGeom>
      </xdr:spPr>
    </xdr:pic>
    <xdr:clientData/>
  </xdr:twoCellAnchor>
  <xdr:twoCellAnchor editAs="oneCell">
    <xdr:from>
      <xdr:col>15</xdr:col>
      <xdr:colOff>511970</xdr:colOff>
      <xdr:row>12</xdr:row>
      <xdr:rowOff>54999</xdr:rowOff>
    </xdr:from>
    <xdr:to>
      <xdr:col>21</xdr:col>
      <xdr:colOff>226219</xdr:colOff>
      <xdr:row>27</xdr:row>
      <xdr:rowOff>113544</xdr:rowOff>
    </xdr:to>
    <xdr:pic>
      <xdr:nvPicPr>
        <xdr:cNvPr id="5" name="Picture 4" descr="http://ditjennak.pertanian.go.id/img_galeri/704223Bali_Jtn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9620251" y="2424343"/>
          <a:ext cx="3357562" cy="2677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343539</xdr:colOff>
      <xdr:row>12</xdr:row>
      <xdr:rowOff>47625</xdr:rowOff>
    </xdr:from>
    <xdr:to>
      <xdr:col>27</xdr:col>
      <xdr:colOff>178594</xdr:colOff>
      <xdr:row>27</xdr:row>
      <xdr:rowOff>119062</xdr:rowOff>
    </xdr:to>
    <xdr:pic>
      <xdr:nvPicPr>
        <xdr:cNvPr id="6" name="Picture 5" descr="https://c1.staticflickr.com/9/8031/7988983905_6df0bc1879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5133" y="2416969"/>
          <a:ext cx="3478367" cy="2690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6</xdr:row>
      <xdr:rowOff>9525</xdr:rowOff>
    </xdr:from>
    <xdr:to>
      <xdr:col>8</xdr:col>
      <xdr:colOff>75898</xdr:colOff>
      <xdr:row>19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333375"/>
          <a:ext cx="4390723" cy="2133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285750</xdr:colOff>
      <xdr:row>5</xdr:row>
      <xdr:rowOff>114300</xdr:rowOff>
    </xdr:from>
    <xdr:to>
      <xdr:col>8</xdr:col>
      <xdr:colOff>266700</xdr:colOff>
      <xdr:row>19</xdr:row>
      <xdr:rowOff>107632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3350" y="276225"/>
          <a:ext cx="1200150" cy="22602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152401</xdr:rowOff>
    </xdr:from>
    <xdr:to>
      <xdr:col>8</xdr:col>
      <xdr:colOff>257175</xdr:colOff>
      <xdr:row>23</xdr:row>
      <xdr:rowOff>57150</xdr:rowOff>
    </xdr:to>
    <xdr:sp macro="" textlink="">
      <xdr:nvSpPr>
        <xdr:cNvPr id="6" name="TextBox 5"/>
        <xdr:cNvSpPr txBox="1"/>
      </xdr:nvSpPr>
      <xdr:spPr>
        <a:xfrm>
          <a:off x="609600" y="2581276"/>
          <a:ext cx="4524375" cy="552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1100" b="1">
              <a:solidFill>
                <a:srgbClr val="008000"/>
              </a:solidFill>
            </a:rPr>
            <a:t>Pilih bahan pakan yang ada akan digunakan yang terdapat  di Tabel  Bahan Pakan. </a:t>
          </a:r>
        </a:p>
      </xdr:txBody>
    </xdr:sp>
    <xdr:clientData/>
  </xdr:twoCellAnchor>
  <xdr:twoCellAnchor>
    <xdr:from>
      <xdr:col>10</xdr:col>
      <xdr:colOff>460276</xdr:colOff>
      <xdr:row>20</xdr:row>
      <xdr:rowOff>47880</xdr:rowOff>
    </xdr:from>
    <xdr:to>
      <xdr:col>16</xdr:col>
      <xdr:colOff>204838</xdr:colOff>
      <xdr:row>23</xdr:row>
      <xdr:rowOff>71360</xdr:rowOff>
    </xdr:to>
    <xdr:sp macro="" textlink="">
      <xdr:nvSpPr>
        <xdr:cNvPr id="8" name="TextBox 7"/>
        <xdr:cNvSpPr txBox="1"/>
      </xdr:nvSpPr>
      <xdr:spPr>
        <a:xfrm>
          <a:off x="6532464" y="3774536"/>
          <a:ext cx="3387874" cy="5235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1100" b="1">
              <a:solidFill>
                <a:srgbClr val="008000"/>
              </a:solidFill>
            </a:rPr>
            <a:t>Pilih bahan pakan yang akan digunakan di Tabel Formulasi Ransum.</a:t>
          </a:r>
          <a:r>
            <a:rPr lang="id-ID" sz="1100" b="1" baseline="0">
              <a:solidFill>
                <a:srgbClr val="008000"/>
              </a:solidFill>
            </a:rPr>
            <a:t> 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oneCellAnchor>
    <xdr:from>
      <xdr:col>10</xdr:col>
      <xdr:colOff>35601</xdr:colOff>
      <xdr:row>4</xdr:row>
      <xdr:rowOff>3496</xdr:rowOff>
    </xdr:from>
    <xdr:ext cx="503897" cy="604024"/>
    <xdr:sp macro="" textlink="">
      <xdr:nvSpPr>
        <xdr:cNvPr id="9" name="Rectangle 8"/>
        <xdr:cNvSpPr/>
      </xdr:nvSpPr>
      <xdr:spPr>
        <a:xfrm>
          <a:off x="6180762" y="105841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2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 editAs="oneCell">
    <xdr:from>
      <xdr:col>10</xdr:col>
      <xdr:colOff>460276</xdr:colOff>
      <xdr:row>5</xdr:row>
      <xdr:rowOff>51208</xdr:rowOff>
    </xdr:from>
    <xdr:to>
      <xdr:col>16</xdr:col>
      <xdr:colOff>204839</xdr:colOff>
      <xdr:row>19</xdr:row>
      <xdr:rowOff>150521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5437" y="1269998"/>
          <a:ext cx="3431660" cy="23935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410292</xdr:colOff>
      <xdr:row>9</xdr:row>
      <xdr:rowOff>156702</xdr:rowOff>
    </xdr:from>
    <xdr:to>
      <xdr:col>10</xdr:col>
      <xdr:colOff>235565</xdr:colOff>
      <xdr:row>15</xdr:row>
      <xdr:rowOff>153630</xdr:rowOff>
    </xdr:to>
    <xdr:sp macro="" textlink="">
      <xdr:nvSpPr>
        <xdr:cNvPr id="13" name="Striped Right Arrow 12"/>
        <xdr:cNvSpPr/>
      </xdr:nvSpPr>
      <xdr:spPr>
        <a:xfrm>
          <a:off x="5326421" y="976057"/>
          <a:ext cx="1054305" cy="980154"/>
        </a:xfrm>
        <a:prstGeom prst="stripedRigh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18</xdr:col>
      <xdr:colOff>512518</xdr:colOff>
      <xdr:row>4</xdr:row>
      <xdr:rowOff>134393</xdr:rowOff>
    </xdr:from>
    <xdr:to>
      <xdr:col>23</xdr:col>
      <xdr:colOff>533174</xdr:colOff>
      <xdr:row>20</xdr:row>
      <xdr:rowOff>107156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42456" y="1194049"/>
          <a:ext cx="3056749" cy="263976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18</xdr:col>
      <xdr:colOff>522905</xdr:colOff>
      <xdr:row>20</xdr:row>
      <xdr:rowOff>157395</xdr:rowOff>
    </xdr:from>
    <xdr:to>
      <xdr:col>23</xdr:col>
      <xdr:colOff>535781</xdr:colOff>
      <xdr:row>24</xdr:row>
      <xdr:rowOff>142874</xdr:rowOff>
    </xdr:to>
    <xdr:sp macro="" textlink="">
      <xdr:nvSpPr>
        <xdr:cNvPr id="17" name="TextBox 16"/>
        <xdr:cNvSpPr txBox="1"/>
      </xdr:nvSpPr>
      <xdr:spPr>
        <a:xfrm>
          <a:off x="11452843" y="3884051"/>
          <a:ext cx="3048969" cy="6522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penggunaan </a:t>
          </a:r>
          <a:r>
            <a:rPr lang="id-ID" sz="1100" b="1" baseline="0">
              <a:solidFill>
                <a:srgbClr val="008000"/>
              </a:solidFill>
            </a:rPr>
            <a:t> minimum dan maksimum setiap bahan pakan sesuai dengan jenis ransum.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499318</xdr:colOff>
      <xdr:row>9</xdr:row>
      <xdr:rowOff>43506</xdr:rowOff>
    </xdr:from>
    <xdr:to>
      <xdr:col>18</xdr:col>
      <xdr:colOff>276533</xdr:colOff>
      <xdr:row>16</xdr:row>
      <xdr:rowOff>30726</xdr:rowOff>
    </xdr:to>
    <xdr:sp macro="" textlink="">
      <xdr:nvSpPr>
        <xdr:cNvPr id="18" name="Striped Right Arrow 17"/>
        <xdr:cNvSpPr/>
      </xdr:nvSpPr>
      <xdr:spPr>
        <a:xfrm>
          <a:off x="10331576" y="1917780"/>
          <a:ext cx="1006247" cy="1134317"/>
        </a:xfrm>
        <a:prstGeom prst="stripedRightArrow">
          <a:avLst>
            <a:gd name="adj1" fmla="val 50000"/>
            <a:gd name="adj2" fmla="val 525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26</xdr:col>
      <xdr:colOff>296913</xdr:colOff>
      <xdr:row>4</xdr:row>
      <xdr:rowOff>113586</xdr:rowOff>
    </xdr:from>
    <xdr:to>
      <xdr:col>31</xdr:col>
      <xdr:colOff>476250</xdr:colOff>
      <xdr:row>21</xdr:row>
      <xdr:rowOff>61758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84601" y="1173242"/>
          <a:ext cx="3215430" cy="27818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26</xdr:col>
      <xdr:colOff>315189</xdr:colOff>
      <xdr:row>21</xdr:row>
      <xdr:rowOff>159774</xdr:rowOff>
    </xdr:from>
    <xdr:to>
      <xdr:col>31</xdr:col>
      <xdr:colOff>428625</xdr:colOff>
      <xdr:row>25</xdr:row>
      <xdr:rowOff>127569</xdr:rowOff>
    </xdr:to>
    <xdr:sp macro="" textlink="">
      <xdr:nvSpPr>
        <xdr:cNvPr id="21" name="TextBox 20"/>
        <xdr:cNvSpPr txBox="1"/>
      </xdr:nvSpPr>
      <xdr:spPr>
        <a:xfrm>
          <a:off x="16102877" y="4053118"/>
          <a:ext cx="3149529" cy="634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kenutuhan nutrien sesuai dengan jenis ransum, jika diperlukan silahkan modifikasi.</a:t>
          </a:r>
        </a:p>
      </xdr:txBody>
    </xdr:sp>
    <xdr:clientData/>
  </xdr:twoCellAnchor>
  <xdr:twoCellAnchor editAs="oneCell">
    <xdr:from>
      <xdr:col>33</xdr:col>
      <xdr:colOff>253847</xdr:colOff>
      <xdr:row>7</xdr:row>
      <xdr:rowOff>106546</xdr:rowOff>
    </xdr:from>
    <xdr:to>
      <xdr:col>35</xdr:col>
      <xdr:colOff>47626</xdr:colOff>
      <xdr:row>13</xdr:row>
      <xdr:rowOff>46707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292066" y="1666265"/>
          <a:ext cx="1008216" cy="940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33</xdr:col>
      <xdr:colOff>382204</xdr:colOff>
      <xdr:row>12</xdr:row>
      <xdr:rowOff>153385</xdr:rowOff>
    </xdr:from>
    <xdr:to>
      <xdr:col>34</xdr:col>
      <xdr:colOff>503647</xdr:colOff>
      <xdr:row>16</xdr:row>
      <xdr:rowOff>10151</xdr:rowOff>
    </xdr:to>
    <xdr:sp macro="" textlink="">
      <xdr:nvSpPr>
        <xdr:cNvPr id="24" name="TextBox 23"/>
        <xdr:cNvSpPr txBox="1"/>
      </xdr:nvSpPr>
      <xdr:spPr>
        <a:xfrm>
          <a:off x="20420423" y="2546541"/>
          <a:ext cx="728662" cy="5235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000" b="1">
              <a:solidFill>
                <a:srgbClr val="008000"/>
              </a:solidFill>
            </a:rPr>
            <a:t>Click icon Formulate</a:t>
          </a:r>
        </a:p>
      </xdr:txBody>
    </xdr:sp>
    <xdr:clientData/>
  </xdr:twoCellAnchor>
  <xdr:twoCellAnchor>
    <xdr:from>
      <xdr:col>24</xdr:col>
      <xdr:colOff>338852</xdr:colOff>
      <xdr:row>9</xdr:row>
      <xdr:rowOff>133145</xdr:rowOff>
    </xdr:from>
    <xdr:to>
      <xdr:col>26</xdr:col>
      <xdr:colOff>112660</xdr:colOff>
      <xdr:row>15</xdr:row>
      <xdr:rowOff>121931</xdr:rowOff>
    </xdr:to>
    <xdr:sp macro="" textlink="">
      <xdr:nvSpPr>
        <xdr:cNvPr id="25" name="Striped Right Arrow 24"/>
        <xdr:cNvSpPr/>
      </xdr:nvSpPr>
      <xdr:spPr>
        <a:xfrm>
          <a:off x="15087239" y="2007419"/>
          <a:ext cx="1002840" cy="972012"/>
        </a:xfrm>
        <a:prstGeom prst="striped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32</xdr:col>
      <xdr:colOff>94711</xdr:colOff>
      <xdr:row>9</xdr:row>
      <xdr:rowOff>121314</xdr:rowOff>
    </xdr:from>
    <xdr:to>
      <xdr:col>33</xdr:col>
      <xdr:colOff>107155</xdr:colOff>
      <xdr:row>16</xdr:row>
      <xdr:rowOff>95249</xdr:rowOff>
    </xdr:to>
    <xdr:sp macro="" textlink="">
      <xdr:nvSpPr>
        <xdr:cNvPr id="26" name="Striped Right Arrow 25"/>
        <xdr:cNvSpPr/>
      </xdr:nvSpPr>
      <xdr:spPr>
        <a:xfrm>
          <a:off x="19525711" y="2014408"/>
          <a:ext cx="619663" cy="1140747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21</xdr:col>
      <xdr:colOff>293688</xdr:colOff>
      <xdr:row>5</xdr:row>
      <xdr:rowOff>84037</xdr:rowOff>
    </xdr:from>
    <xdr:to>
      <xdr:col>23</xdr:col>
      <xdr:colOff>95251</xdr:colOff>
      <xdr:row>20</xdr:row>
      <xdr:rowOff>59531</xdr:rowOff>
    </xdr:to>
    <xdr:sp macro="" textlink="">
      <xdr:nvSpPr>
        <xdr:cNvPr id="7" name="Oval 6"/>
        <xdr:cNvSpPr/>
      </xdr:nvSpPr>
      <xdr:spPr>
        <a:xfrm>
          <a:off x="13045282" y="1310381"/>
          <a:ext cx="1016000" cy="247580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10</xdr:col>
      <xdr:colOff>374551</xdr:colOff>
      <xdr:row>7</xdr:row>
      <xdr:rowOff>57150</xdr:rowOff>
    </xdr:from>
    <xdr:to>
      <xdr:col>11</xdr:col>
      <xdr:colOff>345976</xdr:colOff>
      <xdr:row>18</xdr:row>
      <xdr:rowOff>38100</xdr:rowOff>
    </xdr:to>
    <xdr:sp macro="" textlink="">
      <xdr:nvSpPr>
        <xdr:cNvPr id="28" name="Oval 27"/>
        <xdr:cNvSpPr/>
      </xdr:nvSpPr>
      <xdr:spPr>
        <a:xfrm>
          <a:off x="6519712" y="548763"/>
          <a:ext cx="585941" cy="178353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219075</xdr:colOff>
      <xdr:row>6</xdr:row>
      <xdr:rowOff>19050</xdr:rowOff>
    </xdr:from>
    <xdr:to>
      <xdr:col>7</xdr:col>
      <xdr:colOff>190500</xdr:colOff>
      <xdr:row>20</xdr:row>
      <xdr:rowOff>0</xdr:rowOff>
    </xdr:to>
    <xdr:sp macro="" textlink="">
      <xdr:nvSpPr>
        <xdr:cNvPr id="29" name="Oval 28"/>
        <xdr:cNvSpPr/>
      </xdr:nvSpPr>
      <xdr:spPr>
        <a:xfrm>
          <a:off x="3876675" y="342900"/>
          <a:ext cx="581025" cy="2247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29</xdr:col>
      <xdr:colOff>476251</xdr:colOff>
      <xdr:row>6</xdr:row>
      <xdr:rowOff>117932</xdr:rowOff>
    </xdr:from>
    <xdr:to>
      <xdr:col>31</xdr:col>
      <xdr:colOff>440532</xdr:colOff>
      <xdr:row>21</xdr:row>
      <xdr:rowOff>107157</xdr:rowOff>
    </xdr:to>
    <xdr:sp macro="" textlink="">
      <xdr:nvSpPr>
        <xdr:cNvPr id="30" name="Oval 29"/>
        <xdr:cNvSpPr/>
      </xdr:nvSpPr>
      <xdr:spPr>
        <a:xfrm>
          <a:off x="18085595" y="1510963"/>
          <a:ext cx="1178718" cy="24895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oneCellAnchor>
    <xdr:from>
      <xdr:col>0</xdr:col>
      <xdr:colOff>140784</xdr:colOff>
      <xdr:row>4</xdr:row>
      <xdr:rowOff>105935</xdr:rowOff>
    </xdr:from>
    <xdr:ext cx="503897" cy="604024"/>
    <xdr:sp macro="" textlink="">
      <xdr:nvSpPr>
        <xdr:cNvPr id="31" name="Rectangle 30"/>
        <xdr:cNvSpPr/>
      </xdr:nvSpPr>
      <xdr:spPr>
        <a:xfrm>
          <a:off x="140784" y="10593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1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18</xdr:col>
      <xdr:colOff>15116</xdr:colOff>
      <xdr:row>3</xdr:row>
      <xdr:rowOff>102423</xdr:rowOff>
    </xdr:from>
    <xdr:ext cx="503897" cy="604024"/>
    <xdr:sp macro="" textlink="">
      <xdr:nvSpPr>
        <xdr:cNvPr id="32" name="Rectangle 31"/>
        <xdr:cNvSpPr/>
      </xdr:nvSpPr>
      <xdr:spPr>
        <a:xfrm>
          <a:off x="11076406" y="993471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3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25</xdr:col>
      <xdr:colOff>456516</xdr:colOff>
      <xdr:row>3</xdr:row>
      <xdr:rowOff>105920</xdr:rowOff>
    </xdr:from>
    <xdr:ext cx="503897" cy="604024"/>
    <xdr:sp macro="" textlink="">
      <xdr:nvSpPr>
        <xdr:cNvPr id="33" name="Rectangle 32"/>
        <xdr:cNvSpPr/>
      </xdr:nvSpPr>
      <xdr:spPr>
        <a:xfrm>
          <a:off x="15819419" y="996968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4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33</xdr:col>
      <xdr:colOff>490497</xdr:colOff>
      <xdr:row>4</xdr:row>
      <xdr:rowOff>98499</xdr:rowOff>
    </xdr:from>
    <xdr:ext cx="503897" cy="604024"/>
    <xdr:sp macro="" textlink="">
      <xdr:nvSpPr>
        <xdr:cNvPr id="34" name="Rectangle 33"/>
        <xdr:cNvSpPr/>
      </xdr:nvSpPr>
      <xdr:spPr>
        <a:xfrm>
          <a:off x="20528716" y="115815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5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56</xdr:row>
      <xdr:rowOff>28575</xdr:rowOff>
    </xdr:from>
    <xdr:ext cx="7347974" cy="264560"/>
    <xdr:sp macro="" textlink="">
      <xdr:nvSpPr>
        <xdr:cNvPr id="2" name="TextBox 1"/>
        <xdr:cNvSpPr txBox="1"/>
      </xdr:nvSpPr>
      <xdr:spPr>
        <a:xfrm>
          <a:off x="323850" y="10648950"/>
          <a:ext cx="73479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id-ID" sz="1100">
              <a:solidFill>
                <a:srgbClr val="FF0000"/>
              </a:solidFill>
            </a:rPr>
            <a:t>Developed by Departement of Nutrition and Feed Technology, Faculty of Animal</a:t>
          </a:r>
          <a:r>
            <a:rPr lang="id-ID" sz="1100" baseline="0">
              <a:solidFill>
                <a:srgbClr val="FF0000"/>
              </a:solidFill>
            </a:rPr>
            <a:t>  Science, Bogor Agricultural University, 2015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275438</xdr:colOff>
      <xdr:row>13</xdr:row>
      <xdr:rowOff>169333</xdr:rowOff>
    </xdr:to>
    <xdr:pic>
      <xdr:nvPicPr>
        <xdr:cNvPr id="4" name="Picture 3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9457" y="1934632"/>
          <a:ext cx="1757106" cy="1168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91477" y="4232102"/>
          <a:ext cx="874767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275438</xdr:colOff>
      <xdr:row>13</xdr:row>
      <xdr:rowOff>169333</xdr:rowOff>
    </xdr:to>
    <xdr:pic>
      <xdr:nvPicPr>
        <xdr:cNvPr id="5" name="Picture 4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999" y="1936749"/>
          <a:ext cx="1778273" cy="1174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275438</xdr:colOff>
      <xdr:row>13</xdr:row>
      <xdr:rowOff>169333</xdr:rowOff>
    </xdr:to>
    <xdr:pic>
      <xdr:nvPicPr>
        <xdr:cNvPr id="4" name="Picture 3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9457" y="1934632"/>
          <a:ext cx="1757106" cy="1168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275438</xdr:colOff>
      <xdr:row>13</xdr:row>
      <xdr:rowOff>169333</xdr:rowOff>
    </xdr:to>
    <xdr:pic>
      <xdr:nvPicPr>
        <xdr:cNvPr id="4" name="Picture 3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9457" y="1934632"/>
          <a:ext cx="1757106" cy="1168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8000"/>
  </sheetPr>
  <dimension ref="B2:C22"/>
  <sheetViews>
    <sheetView showGridLines="0" showRowColHeaders="0" tabSelected="1" zoomScale="70" zoomScaleNormal="70" workbookViewId="0">
      <selection activeCell="Y36" sqref="Y36"/>
    </sheetView>
  </sheetViews>
  <sheetFormatPr defaultRowHeight="12.75" x14ac:dyDescent="0.2"/>
  <sheetData>
    <row r="2" spans="2:3" ht="33.75" x14ac:dyDescent="0.5">
      <c r="B2" s="86" t="s">
        <v>56</v>
      </c>
    </row>
    <row r="3" spans="2:3" x14ac:dyDescent="0.2">
      <c r="B3" s="87" t="s">
        <v>50</v>
      </c>
    </row>
    <row r="4" spans="2:3" ht="14.25" customHeight="1" x14ac:dyDescent="0.2"/>
    <row r="5" spans="2:3" ht="14.25" customHeight="1" x14ac:dyDescent="0.2"/>
    <row r="6" spans="2:3" ht="14.25" customHeight="1" x14ac:dyDescent="0.4">
      <c r="B6" s="2"/>
    </row>
    <row r="7" spans="2:3" ht="14.25" customHeight="1" x14ac:dyDescent="0.25">
      <c r="B7" s="1"/>
    </row>
    <row r="8" spans="2:3" ht="14.25" customHeight="1" x14ac:dyDescent="0.25">
      <c r="B8" s="1"/>
    </row>
    <row r="9" spans="2:3" ht="14.25" customHeight="1" x14ac:dyDescent="0.25">
      <c r="B9" s="1"/>
    </row>
    <row r="10" spans="2:3" ht="14.25" customHeight="1" x14ac:dyDescent="0.25">
      <c r="C10" s="1"/>
    </row>
    <row r="11" spans="2:3" ht="14.25" customHeight="1" x14ac:dyDescent="0.2"/>
    <row r="12" spans="2:3" ht="14.25" customHeight="1" x14ac:dyDescent="0.2"/>
    <row r="13" spans="2:3" ht="14.25" customHeight="1" x14ac:dyDescent="0.2"/>
    <row r="14" spans="2:3" ht="14.25" customHeight="1" x14ac:dyDescent="0.2"/>
    <row r="15" spans="2:3" ht="14.25" customHeight="1" x14ac:dyDescent="0.2"/>
    <row r="16" spans="2:3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</sheetData>
  <sheetProtection password="C170" sheet="1" objects="1" scenarios="1"/>
  <pageMargins left="0.7" right="0.7" top="0.75" bottom="0.75" header="0.3" footer="0.3"/>
  <pageSetup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8000"/>
  </sheetPr>
  <dimension ref="B2:B3"/>
  <sheetViews>
    <sheetView showGridLines="0" showRowColHeaders="0" zoomScale="60" zoomScaleNormal="60" workbookViewId="0">
      <selection activeCell="F32" sqref="F32"/>
    </sheetView>
  </sheetViews>
  <sheetFormatPr defaultRowHeight="12.75" x14ac:dyDescent="0.2"/>
  <cols>
    <col min="10" max="10" width="9.140625" customWidth="1"/>
  </cols>
  <sheetData>
    <row r="2" spans="2:2" ht="33.75" x14ac:dyDescent="0.5">
      <c r="B2" s="86" t="s">
        <v>52</v>
      </c>
    </row>
    <row r="3" spans="2:2" ht="23.25" x14ac:dyDescent="0.2">
      <c r="B3" s="87" t="s">
        <v>55</v>
      </c>
    </row>
  </sheetData>
  <sheetProtection password="C17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B1:X493"/>
  <sheetViews>
    <sheetView zoomScaleNormal="100" workbookViewId="0">
      <selection activeCell="E15" sqref="E15"/>
    </sheetView>
  </sheetViews>
  <sheetFormatPr defaultRowHeight="12.75" x14ac:dyDescent="0.2"/>
  <cols>
    <col min="1" max="1" width="5.5703125" style="113" customWidth="1"/>
    <col min="2" max="2" width="11.28515625" style="114" customWidth="1"/>
    <col min="3" max="3" width="9.140625" style="114" customWidth="1"/>
    <col min="4" max="4" width="20.85546875" style="113" customWidth="1"/>
    <col min="5" max="6" width="7.85546875" style="114" customWidth="1"/>
    <col min="7" max="16" width="8.7109375" style="114" customWidth="1"/>
    <col min="17" max="19" width="8.7109375" style="114" hidden="1" customWidth="1"/>
    <col min="20" max="207" width="6.5703125" style="113" customWidth="1"/>
    <col min="208" max="16384" width="9.140625" style="113"/>
  </cols>
  <sheetData>
    <row r="1" spans="2:19" x14ac:dyDescent="0.2">
      <c r="B1" s="112"/>
      <c r="C1" s="112"/>
    </row>
    <row r="2" spans="2:19" ht="33.75" x14ac:dyDescent="0.5">
      <c r="B2" s="91" t="s">
        <v>56</v>
      </c>
      <c r="C2" s="91"/>
    </row>
    <row r="3" spans="2:19" x14ac:dyDescent="0.2">
      <c r="B3" s="92" t="s">
        <v>50</v>
      </c>
      <c r="C3" s="92"/>
    </row>
    <row r="4" spans="2:19" s="115" customFormat="1" ht="20.25" x14ac:dyDescent="0.2">
      <c r="B4" s="95"/>
      <c r="C4" s="95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</row>
    <row r="5" spans="2:19" ht="20.25" customHeight="1" x14ac:dyDescent="0.2">
      <c r="B5" s="98" t="s">
        <v>78</v>
      </c>
      <c r="C5" s="98"/>
    </row>
    <row r="6" spans="2:19" s="115" customFormat="1" ht="24" customHeight="1" x14ac:dyDescent="0.2">
      <c r="B6" s="119" t="s">
        <v>42</v>
      </c>
      <c r="C6" s="119" t="s">
        <v>74</v>
      </c>
      <c r="D6" s="120" t="s">
        <v>19</v>
      </c>
      <c r="E6" s="119" t="s">
        <v>26</v>
      </c>
      <c r="F6" s="119" t="s">
        <v>27</v>
      </c>
      <c r="G6" s="119" t="s">
        <v>8</v>
      </c>
      <c r="H6" s="119" t="s">
        <v>9</v>
      </c>
      <c r="I6" s="119" t="s">
        <v>10</v>
      </c>
      <c r="J6" s="119" t="s">
        <v>11</v>
      </c>
      <c r="K6" s="119" t="s">
        <v>12</v>
      </c>
      <c r="L6" s="119" t="s">
        <v>13</v>
      </c>
      <c r="M6" s="119" t="s">
        <v>18</v>
      </c>
      <c r="N6" s="119" t="s">
        <v>75</v>
      </c>
      <c r="O6" s="119" t="s">
        <v>2</v>
      </c>
      <c r="P6" s="119" t="s">
        <v>5</v>
      </c>
      <c r="Q6" s="119"/>
      <c r="R6" s="119"/>
      <c r="S6" s="119"/>
    </row>
    <row r="7" spans="2:19" ht="14.25" customHeight="1" x14ac:dyDescent="0.2">
      <c r="B7" s="121">
        <v>1</v>
      </c>
      <c r="C7" s="122" t="s">
        <v>73</v>
      </c>
      <c r="D7" s="133" t="s">
        <v>58</v>
      </c>
      <c r="E7" s="123">
        <v>0</v>
      </c>
      <c r="F7" s="123">
        <v>30</v>
      </c>
      <c r="G7" s="134">
        <v>200</v>
      </c>
      <c r="H7" s="135">
        <v>87.5</v>
      </c>
      <c r="I7" s="135">
        <v>16.899999999999999</v>
      </c>
      <c r="J7" s="136">
        <v>4.1500000000000004</v>
      </c>
      <c r="K7" s="136">
        <v>1.47</v>
      </c>
      <c r="L7" s="135">
        <v>32.5</v>
      </c>
      <c r="M7" s="135">
        <v>45</v>
      </c>
      <c r="N7" s="135">
        <v>43.2</v>
      </c>
      <c r="O7" s="137">
        <v>0.41299999999999998</v>
      </c>
      <c r="P7" s="137">
        <v>0.29199999999999998</v>
      </c>
      <c r="Q7" s="128"/>
      <c r="R7" s="129"/>
      <c r="S7" s="128"/>
    </row>
    <row r="8" spans="2:19" ht="14.25" customHeight="1" x14ac:dyDescent="0.2">
      <c r="B8" s="121">
        <v>2</v>
      </c>
      <c r="C8" s="122" t="s">
        <v>73</v>
      </c>
      <c r="D8" s="133" t="s">
        <v>61</v>
      </c>
      <c r="E8" s="123">
        <v>0</v>
      </c>
      <c r="F8" s="131">
        <v>50</v>
      </c>
      <c r="G8" s="134">
        <v>200</v>
      </c>
      <c r="H8" s="135">
        <v>24.4</v>
      </c>
      <c r="I8" s="135">
        <v>14.5</v>
      </c>
      <c r="J8" s="136">
        <v>8.1999999999999993</v>
      </c>
      <c r="K8" s="136">
        <v>1.44</v>
      </c>
      <c r="L8" s="135">
        <v>31.7</v>
      </c>
      <c r="M8" s="135">
        <v>44.2</v>
      </c>
      <c r="N8" s="135">
        <v>56.2</v>
      </c>
      <c r="O8" s="137">
        <v>0.36599999999999999</v>
      </c>
      <c r="P8" s="137">
        <v>0.23</v>
      </c>
      <c r="Q8" s="128"/>
      <c r="R8" s="129"/>
      <c r="S8" s="128"/>
    </row>
    <row r="9" spans="2:19" ht="14.25" customHeight="1" x14ac:dyDescent="0.2">
      <c r="B9" s="121">
        <v>3</v>
      </c>
      <c r="C9" s="122" t="s">
        <v>73</v>
      </c>
      <c r="D9" s="133" t="s">
        <v>62</v>
      </c>
      <c r="E9" s="123">
        <v>0</v>
      </c>
      <c r="F9" s="131">
        <v>50</v>
      </c>
      <c r="G9" s="134">
        <v>200</v>
      </c>
      <c r="H9" s="135">
        <v>22.2</v>
      </c>
      <c r="I9" s="135">
        <v>12</v>
      </c>
      <c r="J9" s="136">
        <v>8.69</v>
      </c>
      <c r="K9" s="136">
        <v>2.71</v>
      </c>
      <c r="L9" s="135">
        <v>32.299999999999997</v>
      </c>
      <c r="M9" s="135">
        <v>43.7</v>
      </c>
      <c r="N9" s="135">
        <v>52.4</v>
      </c>
      <c r="O9" s="137">
        <v>0.47499999999999998</v>
      </c>
      <c r="P9" s="137">
        <v>0.34699999999999998</v>
      </c>
      <c r="Q9" s="128"/>
      <c r="R9" s="129"/>
      <c r="S9" s="128"/>
    </row>
    <row r="10" spans="2:19" ht="14.25" customHeight="1" x14ac:dyDescent="0.2">
      <c r="B10" s="121">
        <v>4</v>
      </c>
      <c r="C10" s="122" t="s">
        <v>73</v>
      </c>
      <c r="D10" s="133" t="s">
        <v>60</v>
      </c>
      <c r="E10" s="123">
        <v>0</v>
      </c>
      <c r="F10" s="131">
        <v>40</v>
      </c>
      <c r="G10" s="134">
        <v>250</v>
      </c>
      <c r="H10" s="135">
        <v>21</v>
      </c>
      <c r="I10" s="135">
        <v>10.199999999999999</v>
      </c>
      <c r="J10" s="136">
        <v>9.92</v>
      </c>
      <c r="K10" s="136">
        <v>1.78</v>
      </c>
      <c r="L10" s="135">
        <v>27.4</v>
      </c>
      <c r="M10" s="135">
        <v>50.7</v>
      </c>
      <c r="N10" s="135">
        <v>60</v>
      </c>
      <c r="O10" s="137">
        <v>1.24</v>
      </c>
      <c r="P10" s="137">
        <v>0.23400000000000001</v>
      </c>
      <c r="Q10" s="128"/>
      <c r="R10" s="129"/>
      <c r="S10" s="128"/>
    </row>
    <row r="11" spans="2:19" ht="14.25" customHeight="1" x14ac:dyDescent="0.2">
      <c r="B11" s="121">
        <v>5</v>
      </c>
      <c r="C11" s="122" t="s">
        <v>73</v>
      </c>
      <c r="D11" s="133" t="s">
        <v>63</v>
      </c>
      <c r="E11" s="123">
        <v>0</v>
      </c>
      <c r="F11" s="131">
        <v>30</v>
      </c>
      <c r="G11" s="134">
        <v>500</v>
      </c>
      <c r="H11" s="135">
        <v>21.6</v>
      </c>
      <c r="I11" s="135">
        <v>12.1</v>
      </c>
      <c r="J11" s="136">
        <v>24.1</v>
      </c>
      <c r="K11" s="136">
        <v>4.7300000000000004</v>
      </c>
      <c r="L11" s="135">
        <v>22.1</v>
      </c>
      <c r="M11" s="135">
        <v>37</v>
      </c>
      <c r="N11" s="135">
        <v>61.8</v>
      </c>
      <c r="O11" s="137">
        <v>1.54</v>
      </c>
      <c r="P11" s="137">
        <v>0.45700000000000002</v>
      </c>
      <c r="Q11" s="128"/>
      <c r="R11" s="129"/>
      <c r="S11" s="128"/>
    </row>
    <row r="12" spans="2:19" ht="14.25" customHeight="1" x14ac:dyDescent="0.2">
      <c r="B12" s="121">
        <v>6</v>
      </c>
      <c r="C12" s="122" t="s">
        <v>73</v>
      </c>
      <c r="D12" s="133" t="s">
        <v>59</v>
      </c>
      <c r="E12" s="123">
        <v>0</v>
      </c>
      <c r="F12" s="123">
        <v>30</v>
      </c>
      <c r="G12" s="134">
        <v>300</v>
      </c>
      <c r="H12" s="135">
        <v>24.8</v>
      </c>
      <c r="I12" s="135">
        <v>7.5</v>
      </c>
      <c r="J12" s="136">
        <v>24.2</v>
      </c>
      <c r="K12" s="136">
        <v>3.72</v>
      </c>
      <c r="L12" s="135">
        <v>21.5</v>
      </c>
      <c r="M12" s="135">
        <v>43.1</v>
      </c>
      <c r="N12" s="135">
        <v>74.400000000000006</v>
      </c>
      <c r="O12" s="137">
        <v>1.68</v>
      </c>
      <c r="P12" s="137">
        <v>0.21</v>
      </c>
      <c r="Q12" s="128"/>
      <c r="R12" s="129"/>
      <c r="S12" s="128"/>
    </row>
    <row r="13" spans="2:19" ht="14.25" customHeight="1" x14ac:dyDescent="0.2">
      <c r="B13" s="121">
        <v>7</v>
      </c>
      <c r="C13" s="122" t="s">
        <v>46</v>
      </c>
      <c r="D13" s="133" t="s">
        <v>70</v>
      </c>
      <c r="E13" s="123">
        <v>10</v>
      </c>
      <c r="F13" s="131">
        <v>50</v>
      </c>
      <c r="G13" s="134">
        <v>3200</v>
      </c>
      <c r="H13" s="135">
        <v>86.8</v>
      </c>
      <c r="I13" s="135">
        <v>2.15</v>
      </c>
      <c r="J13" s="135">
        <v>10.8</v>
      </c>
      <c r="K13" s="136">
        <v>4.28</v>
      </c>
      <c r="L13" s="135">
        <v>3.53</v>
      </c>
      <c r="M13" s="135">
        <v>80.2</v>
      </c>
      <c r="N13" s="135">
        <v>80.8</v>
      </c>
      <c r="O13" s="137">
        <v>0.23400000000000001</v>
      </c>
      <c r="P13" s="137">
        <v>0.41399999999999998</v>
      </c>
      <c r="Q13" s="128"/>
      <c r="R13" s="128"/>
      <c r="S13" s="128"/>
    </row>
    <row r="14" spans="2:19" ht="14.25" customHeight="1" x14ac:dyDescent="0.2">
      <c r="B14" s="121">
        <v>8</v>
      </c>
      <c r="C14" s="122" t="s">
        <v>46</v>
      </c>
      <c r="D14" s="133" t="s">
        <v>82</v>
      </c>
      <c r="E14" s="123">
        <v>0</v>
      </c>
      <c r="F14" s="131">
        <v>40</v>
      </c>
      <c r="G14" s="134">
        <v>1800</v>
      </c>
      <c r="H14" s="135">
        <v>87.7</v>
      </c>
      <c r="I14" s="135">
        <v>13.6</v>
      </c>
      <c r="J14" s="136">
        <v>13</v>
      </c>
      <c r="K14" s="136">
        <v>8.64</v>
      </c>
      <c r="L14" s="135">
        <v>13.9</v>
      </c>
      <c r="M14" s="135">
        <v>50.9</v>
      </c>
      <c r="N14" s="135">
        <v>67.900000000000006</v>
      </c>
      <c r="O14" s="137">
        <v>8.5599999999999996E-2</v>
      </c>
      <c r="P14" s="137">
        <v>1.39</v>
      </c>
      <c r="Q14" s="128"/>
      <c r="R14" s="129"/>
      <c r="S14" s="128"/>
    </row>
    <row r="15" spans="2:19" ht="14.25" customHeight="1" x14ac:dyDescent="0.2">
      <c r="B15" s="121">
        <v>9</v>
      </c>
      <c r="C15" s="122" t="s">
        <v>46</v>
      </c>
      <c r="D15" s="133" t="s">
        <v>65</v>
      </c>
      <c r="E15" s="123">
        <v>0</v>
      </c>
      <c r="F15" s="131">
        <v>30</v>
      </c>
      <c r="G15" s="134">
        <v>3500</v>
      </c>
      <c r="H15" s="135">
        <v>87.8</v>
      </c>
      <c r="I15" s="135">
        <v>3.5</v>
      </c>
      <c r="J15" s="136">
        <v>10</v>
      </c>
      <c r="K15" s="136">
        <v>7.78</v>
      </c>
      <c r="L15" s="135">
        <v>4.5199999999999996</v>
      </c>
      <c r="M15" s="135">
        <v>74.2</v>
      </c>
      <c r="N15" s="135">
        <v>82.3</v>
      </c>
      <c r="O15" s="137">
        <v>8.5599999999999996E-2</v>
      </c>
      <c r="P15" s="137">
        <v>1.39</v>
      </c>
      <c r="Q15" s="128"/>
      <c r="R15" s="128"/>
      <c r="S15" s="128"/>
    </row>
    <row r="16" spans="2:19" ht="14.25" customHeight="1" x14ac:dyDescent="0.2">
      <c r="B16" s="121">
        <v>10</v>
      </c>
      <c r="C16" s="122" t="s">
        <v>46</v>
      </c>
      <c r="D16" s="133" t="s">
        <v>14</v>
      </c>
      <c r="E16" s="123">
        <v>0</v>
      </c>
      <c r="F16" s="131">
        <v>30</v>
      </c>
      <c r="G16" s="134">
        <v>2200</v>
      </c>
      <c r="H16" s="135">
        <v>88</v>
      </c>
      <c r="I16" s="135">
        <v>9.98</v>
      </c>
      <c r="J16" s="136">
        <v>12.8</v>
      </c>
      <c r="K16" s="136">
        <v>8.1</v>
      </c>
      <c r="L16" s="135">
        <v>7.13</v>
      </c>
      <c r="M16" s="135">
        <v>62</v>
      </c>
      <c r="N16" s="135">
        <v>69.900000000000006</v>
      </c>
      <c r="O16" s="137">
        <v>7.8600000000000003E-2</v>
      </c>
      <c r="P16" s="137">
        <v>1.23</v>
      </c>
      <c r="Q16" s="128"/>
      <c r="R16" s="128"/>
      <c r="S16" s="128"/>
    </row>
    <row r="17" spans="2:19" ht="14.25" customHeight="1" x14ac:dyDescent="0.2">
      <c r="B17" s="121">
        <v>11</v>
      </c>
      <c r="C17" s="122" t="s">
        <v>46</v>
      </c>
      <c r="D17" s="133" t="s">
        <v>64</v>
      </c>
      <c r="E17" s="123">
        <v>0</v>
      </c>
      <c r="F17" s="131">
        <v>40</v>
      </c>
      <c r="G17" s="134">
        <v>2000</v>
      </c>
      <c r="H17" s="135">
        <v>79.8</v>
      </c>
      <c r="I17" s="135">
        <v>2.4</v>
      </c>
      <c r="J17" s="136">
        <v>1.87</v>
      </c>
      <c r="K17" s="136">
        <v>0.32400000000000001</v>
      </c>
      <c r="L17" s="135">
        <v>8.9</v>
      </c>
      <c r="M17" s="135">
        <v>86.5</v>
      </c>
      <c r="N17" s="135">
        <v>78.3</v>
      </c>
      <c r="O17" s="137">
        <v>0.26</v>
      </c>
      <c r="P17" s="137">
        <v>0.16</v>
      </c>
      <c r="Q17" s="128"/>
      <c r="R17" s="129"/>
      <c r="S17" s="128"/>
    </row>
    <row r="18" spans="2:19" ht="14.25" customHeight="1" x14ac:dyDescent="0.2">
      <c r="B18" s="121">
        <v>12</v>
      </c>
      <c r="C18" s="122" t="s">
        <v>46</v>
      </c>
      <c r="D18" s="133" t="s">
        <v>15</v>
      </c>
      <c r="E18" s="123">
        <v>0</v>
      </c>
      <c r="F18" s="131">
        <v>30</v>
      </c>
      <c r="G18" s="134">
        <v>3500</v>
      </c>
      <c r="H18" s="135">
        <v>79.5</v>
      </c>
      <c r="I18" s="135">
        <v>4.6900000000000004</v>
      </c>
      <c r="J18" s="135">
        <v>2.6</v>
      </c>
      <c r="K18" s="136">
        <v>7</v>
      </c>
      <c r="L18" s="135">
        <v>5.67</v>
      </c>
      <c r="M18" s="135">
        <v>86.3</v>
      </c>
      <c r="N18" s="135">
        <v>78.5</v>
      </c>
      <c r="O18" s="137">
        <v>0.17</v>
      </c>
      <c r="P18" s="137">
        <v>0.09</v>
      </c>
      <c r="Q18" s="126"/>
      <c r="R18" s="128"/>
      <c r="S18" s="128"/>
    </row>
    <row r="19" spans="2:19" ht="14.25" customHeight="1" x14ac:dyDescent="0.2">
      <c r="B19" s="121">
        <v>13</v>
      </c>
      <c r="C19" s="122" t="s">
        <v>46</v>
      </c>
      <c r="D19" s="133" t="s">
        <v>7</v>
      </c>
      <c r="E19" s="123">
        <v>0</v>
      </c>
      <c r="F19" s="131">
        <v>30</v>
      </c>
      <c r="G19" s="134">
        <v>2900</v>
      </c>
      <c r="H19" s="135">
        <v>88.5</v>
      </c>
      <c r="I19" s="135">
        <v>5.93</v>
      </c>
      <c r="J19" s="136">
        <v>18.5</v>
      </c>
      <c r="K19" s="136">
        <v>3.86</v>
      </c>
      <c r="L19" s="135">
        <v>9.7799999999999994</v>
      </c>
      <c r="M19" s="135">
        <v>61.9</v>
      </c>
      <c r="N19" s="135">
        <v>69.2</v>
      </c>
      <c r="O19" s="137">
        <v>0.23100000000000001</v>
      </c>
      <c r="P19" s="137">
        <v>1.1000000000000001</v>
      </c>
      <c r="Q19" s="126"/>
      <c r="R19" s="128"/>
      <c r="S19" s="128"/>
    </row>
    <row r="20" spans="2:19" ht="14.25" customHeight="1" x14ac:dyDescent="0.2">
      <c r="B20" s="121">
        <v>14</v>
      </c>
      <c r="C20" s="122" t="s">
        <v>47</v>
      </c>
      <c r="D20" s="133" t="s">
        <v>54</v>
      </c>
      <c r="E20" s="123">
        <v>0</v>
      </c>
      <c r="F20" s="131">
        <v>30</v>
      </c>
      <c r="G20" s="134">
        <v>3500</v>
      </c>
      <c r="H20" s="135">
        <v>32.299999999999997</v>
      </c>
      <c r="I20" s="135">
        <v>3.3</v>
      </c>
      <c r="J20" s="135">
        <v>3.3</v>
      </c>
      <c r="K20" s="136">
        <v>1.51</v>
      </c>
      <c r="L20" s="135">
        <v>4.1500000000000004</v>
      </c>
      <c r="M20" s="135">
        <v>87.7</v>
      </c>
      <c r="N20" s="135">
        <v>81.8</v>
      </c>
      <c r="O20" s="137">
        <v>0.26</v>
      </c>
      <c r="P20" s="137">
        <v>0.16</v>
      </c>
      <c r="Q20" s="126"/>
      <c r="R20" s="128"/>
      <c r="S20" s="128"/>
    </row>
    <row r="21" spans="2:19" ht="14.25" customHeight="1" x14ac:dyDescent="0.2">
      <c r="B21" s="121">
        <v>15</v>
      </c>
      <c r="C21" s="122" t="s">
        <v>47</v>
      </c>
      <c r="D21" s="133" t="s">
        <v>43</v>
      </c>
      <c r="E21" s="123">
        <v>0</v>
      </c>
      <c r="F21" s="131">
        <v>35</v>
      </c>
      <c r="G21" s="134">
        <v>6500</v>
      </c>
      <c r="H21" s="135">
        <v>88.1</v>
      </c>
      <c r="I21" s="135">
        <v>8.16</v>
      </c>
      <c r="J21" s="136">
        <v>46.9</v>
      </c>
      <c r="K21" s="136">
        <v>2.66</v>
      </c>
      <c r="L21" s="135">
        <v>5.9</v>
      </c>
      <c r="M21" s="135">
        <v>36.4</v>
      </c>
      <c r="N21" s="135">
        <v>83.2</v>
      </c>
      <c r="O21" s="137">
        <v>0.376</v>
      </c>
      <c r="P21" s="137">
        <v>0.71799999999999997</v>
      </c>
      <c r="Q21" s="126"/>
      <c r="R21" s="128"/>
      <c r="S21" s="128"/>
    </row>
    <row r="22" spans="2:19" ht="14.25" customHeight="1" x14ac:dyDescent="0.2">
      <c r="B22" s="121">
        <v>16</v>
      </c>
      <c r="C22" s="122" t="s">
        <v>47</v>
      </c>
      <c r="D22" s="133" t="s">
        <v>83</v>
      </c>
      <c r="E22" s="123">
        <v>0</v>
      </c>
      <c r="F22" s="131">
        <v>20</v>
      </c>
      <c r="G22" s="134">
        <v>8000</v>
      </c>
      <c r="H22" s="135">
        <v>89.5</v>
      </c>
      <c r="I22" s="135">
        <v>7.74</v>
      </c>
      <c r="J22" s="136">
        <v>41.2</v>
      </c>
      <c r="K22" s="136">
        <v>17.600000000000001</v>
      </c>
      <c r="L22" s="135">
        <v>7.91</v>
      </c>
      <c r="M22" s="135">
        <v>25.6</v>
      </c>
      <c r="N22" s="135">
        <v>92.8</v>
      </c>
      <c r="O22" s="137">
        <v>0.39</v>
      </c>
      <c r="P22" s="137">
        <v>0.83899999999999997</v>
      </c>
      <c r="Q22" s="126"/>
      <c r="R22" s="128"/>
      <c r="S22" s="128"/>
    </row>
    <row r="23" spans="2:19" ht="14.25" customHeight="1" x14ac:dyDescent="0.2">
      <c r="B23" s="121">
        <v>17</v>
      </c>
      <c r="C23" s="122" t="s">
        <v>47</v>
      </c>
      <c r="D23" s="133" t="s">
        <v>66</v>
      </c>
      <c r="E23" s="123">
        <v>0</v>
      </c>
      <c r="F23" s="131">
        <v>30</v>
      </c>
      <c r="G23" s="134">
        <v>2500</v>
      </c>
      <c r="H23" s="135">
        <v>90.3</v>
      </c>
      <c r="I23" s="135">
        <v>4.07</v>
      </c>
      <c r="J23" s="136">
        <v>16.8</v>
      </c>
      <c r="K23" s="136">
        <v>11.9</v>
      </c>
      <c r="L23" s="135">
        <v>22.6</v>
      </c>
      <c r="M23" s="135">
        <v>44.6</v>
      </c>
      <c r="N23" s="135">
        <v>79</v>
      </c>
      <c r="O23" s="137">
        <v>0.16500000000000001</v>
      </c>
      <c r="P23" s="137">
        <v>0.61599999999999999</v>
      </c>
      <c r="Q23" s="126"/>
      <c r="R23" s="128"/>
      <c r="S23" s="128"/>
    </row>
    <row r="24" spans="2:19" ht="14.25" customHeight="1" x14ac:dyDescent="0.2">
      <c r="B24" s="121">
        <v>18</v>
      </c>
      <c r="C24" s="122" t="s">
        <v>47</v>
      </c>
      <c r="D24" s="133" t="s">
        <v>16</v>
      </c>
      <c r="E24" s="123">
        <v>0</v>
      </c>
      <c r="F24" s="131">
        <v>30</v>
      </c>
      <c r="G24" s="134">
        <v>2800</v>
      </c>
      <c r="H24" s="135">
        <v>88.6</v>
      </c>
      <c r="I24" s="135">
        <v>8.24</v>
      </c>
      <c r="J24" s="136">
        <v>21.3</v>
      </c>
      <c r="K24" s="136">
        <v>10.9</v>
      </c>
      <c r="L24" s="135">
        <v>14.2</v>
      </c>
      <c r="M24" s="135">
        <v>45.4</v>
      </c>
      <c r="N24" s="135">
        <v>78.7</v>
      </c>
      <c r="O24" s="137">
        <v>0.16500000000000001</v>
      </c>
      <c r="P24" s="137">
        <v>0.61599999999999999</v>
      </c>
      <c r="Q24" s="128"/>
      <c r="R24" s="129"/>
      <c r="S24" s="128"/>
    </row>
    <row r="25" spans="2:19" ht="14.25" customHeight="1" x14ac:dyDescent="0.2">
      <c r="B25" s="121">
        <v>19</v>
      </c>
      <c r="C25" s="122" t="s">
        <v>47</v>
      </c>
      <c r="D25" s="133" t="s">
        <v>68</v>
      </c>
      <c r="E25" s="123">
        <v>0</v>
      </c>
      <c r="F25" s="131">
        <v>10</v>
      </c>
      <c r="G25" s="134">
        <v>2100</v>
      </c>
      <c r="H25" s="135">
        <v>83.9</v>
      </c>
      <c r="I25" s="135">
        <v>7.54</v>
      </c>
      <c r="J25" s="136">
        <v>29.6</v>
      </c>
      <c r="K25" s="136">
        <v>7.58</v>
      </c>
      <c r="L25" s="135">
        <v>30</v>
      </c>
      <c r="M25" s="135">
        <v>25.3</v>
      </c>
      <c r="N25" s="135">
        <v>73.7</v>
      </c>
      <c r="O25" s="137">
        <v>0.51900000000000002</v>
      </c>
      <c r="P25" s="137">
        <v>0.58199999999999996</v>
      </c>
      <c r="Q25" s="128"/>
      <c r="R25" s="128"/>
      <c r="S25" s="128"/>
    </row>
    <row r="26" spans="2:19" ht="14.25" customHeight="1" x14ac:dyDescent="0.2">
      <c r="B26" s="121">
        <v>20</v>
      </c>
      <c r="C26" s="122" t="s">
        <v>47</v>
      </c>
      <c r="D26" s="133" t="s">
        <v>67</v>
      </c>
      <c r="E26" s="123">
        <v>0</v>
      </c>
      <c r="F26" s="131">
        <v>20</v>
      </c>
      <c r="G26" s="134">
        <v>2000</v>
      </c>
      <c r="H26" s="135">
        <v>94.6</v>
      </c>
      <c r="I26" s="135">
        <v>4.5</v>
      </c>
      <c r="J26" s="136">
        <v>32.299999999999997</v>
      </c>
      <c r="K26" s="136">
        <v>10.199999999999999</v>
      </c>
      <c r="L26" s="135">
        <v>17.3</v>
      </c>
      <c r="M26" s="135">
        <v>35.700000000000003</v>
      </c>
      <c r="N26" s="135">
        <v>75.400000000000006</v>
      </c>
      <c r="O26" s="137">
        <v>0.20499999999999999</v>
      </c>
      <c r="P26" s="137">
        <v>0.55500000000000005</v>
      </c>
      <c r="Q26" s="126"/>
      <c r="R26" s="126"/>
      <c r="S26" s="128"/>
    </row>
    <row r="27" spans="2:19" ht="14.25" customHeight="1" x14ac:dyDescent="0.2">
      <c r="B27" s="121">
        <v>21</v>
      </c>
      <c r="C27" s="122" t="s">
        <v>47</v>
      </c>
      <c r="D27" s="133" t="s">
        <v>69</v>
      </c>
      <c r="E27" s="123">
        <v>0</v>
      </c>
      <c r="F27" s="131">
        <v>20</v>
      </c>
      <c r="G27" s="134">
        <v>1000</v>
      </c>
      <c r="H27" s="135">
        <v>26.6</v>
      </c>
      <c r="I27" s="135">
        <v>14.2</v>
      </c>
      <c r="J27" s="136">
        <v>23.5</v>
      </c>
      <c r="K27" s="136">
        <v>24.2</v>
      </c>
      <c r="L27" s="135">
        <v>16</v>
      </c>
      <c r="M27" s="135">
        <v>22.1</v>
      </c>
      <c r="N27" s="135">
        <v>87.2</v>
      </c>
      <c r="O27" s="137">
        <v>0.88200000000000001</v>
      </c>
      <c r="P27" s="137">
        <v>0.14099999999999999</v>
      </c>
      <c r="Q27" s="128"/>
      <c r="R27" s="128"/>
      <c r="S27" s="128"/>
    </row>
    <row r="28" spans="2:19" ht="14.25" customHeight="1" x14ac:dyDescent="0.2">
      <c r="B28" s="121">
        <v>22</v>
      </c>
      <c r="C28" s="122" t="s">
        <v>47</v>
      </c>
      <c r="D28" s="133" t="s">
        <v>72</v>
      </c>
      <c r="E28" s="123">
        <v>0</v>
      </c>
      <c r="F28" s="131">
        <v>30</v>
      </c>
      <c r="G28" s="134">
        <v>1000</v>
      </c>
      <c r="H28" s="135">
        <v>14.6</v>
      </c>
      <c r="I28" s="135">
        <v>5.0999999999999996</v>
      </c>
      <c r="J28" s="136">
        <v>30.3</v>
      </c>
      <c r="K28" s="136">
        <v>9.9</v>
      </c>
      <c r="L28" s="135">
        <v>22.2</v>
      </c>
      <c r="M28" s="135">
        <v>32.5</v>
      </c>
      <c r="N28" s="135">
        <v>77.900000000000006</v>
      </c>
      <c r="O28" s="137">
        <v>0.88200000000000001</v>
      </c>
      <c r="P28" s="137">
        <v>0.14099999999999999</v>
      </c>
      <c r="Q28" s="128"/>
      <c r="R28" s="126"/>
      <c r="S28" s="126"/>
    </row>
    <row r="29" spans="2:19" ht="14.25" customHeight="1" x14ac:dyDescent="0.2">
      <c r="B29" s="121">
        <v>23</v>
      </c>
      <c r="C29" s="122" t="s">
        <v>47</v>
      </c>
      <c r="D29" s="133" t="s">
        <v>71</v>
      </c>
      <c r="E29" s="123">
        <v>0</v>
      </c>
      <c r="F29" s="131">
        <v>20</v>
      </c>
      <c r="G29" s="134">
        <v>4000</v>
      </c>
      <c r="H29" s="138">
        <v>90.2</v>
      </c>
      <c r="I29" s="135">
        <v>6.33</v>
      </c>
      <c r="J29" s="136">
        <v>45.1</v>
      </c>
      <c r="K29" s="136">
        <v>10.7</v>
      </c>
      <c r="L29" s="135">
        <v>8.9499999999999993</v>
      </c>
      <c r="M29" s="135">
        <v>28.9</v>
      </c>
      <c r="N29" s="135">
        <v>80.900000000000006</v>
      </c>
      <c r="O29" s="137">
        <v>0.51900000000000002</v>
      </c>
      <c r="P29" s="137">
        <v>0.58199999999999996</v>
      </c>
      <c r="Q29" s="126"/>
      <c r="R29" s="128"/>
      <c r="S29" s="128"/>
    </row>
    <row r="30" spans="2:19" ht="14.25" customHeight="1" x14ac:dyDescent="0.2">
      <c r="B30" s="121">
        <v>24</v>
      </c>
      <c r="C30" s="122" t="s">
        <v>46</v>
      </c>
      <c r="D30" s="130" t="s">
        <v>84</v>
      </c>
      <c r="E30" s="131">
        <v>1</v>
      </c>
      <c r="F30" s="131">
        <v>5</v>
      </c>
      <c r="G30" s="124">
        <v>5000</v>
      </c>
      <c r="H30" s="125">
        <v>99</v>
      </c>
      <c r="I30" s="126">
        <v>0.5</v>
      </c>
      <c r="J30" s="126">
        <v>0</v>
      </c>
      <c r="K30" s="126">
        <v>99</v>
      </c>
      <c r="L30" s="126">
        <v>0</v>
      </c>
      <c r="M30" s="126">
        <v>0</v>
      </c>
      <c r="N30" s="135">
        <v>90</v>
      </c>
      <c r="O30" s="126">
        <v>0</v>
      </c>
      <c r="P30" s="126">
        <v>0</v>
      </c>
      <c r="Q30" s="126"/>
      <c r="R30" s="126"/>
      <c r="S30" s="126"/>
    </row>
    <row r="31" spans="2:19" ht="14.25" customHeight="1" x14ac:dyDescent="0.2">
      <c r="B31" s="121">
        <v>25</v>
      </c>
      <c r="C31" s="122" t="s">
        <v>46</v>
      </c>
      <c r="D31" s="130" t="s">
        <v>85</v>
      </c>
      <c r="E31" s="131">
        <v>5</v>
      </c>
      <c r="F31" s="131">
        <v>7</v>
      </c>
      <c r="G31" s="124">
        <v>2000</v>
      </c>
      <c r="H31" s="125">
        <v>70.89</v>
      </c>
      <c r="I31" s="126">
        <v>4</v>
      </c>
      <c r="J31" s="126">
        <v>4</v>
      </c>
      <c r="K31" s="126">
        <v>0.1</v>
      </c>
      <c r="L31" s="126">
        <v>1</v>
      </c>
      <c r="M31" s="126">
        <v>90.9</v>
      </c>
      <c r="N31" s="135">
        <v>80</v>
      </c>
      <c r="O31" s="128">
        <v>0.8</v>
      </c>
      <c r="P31" s="126">
        <v>0</v>
      </c>
      <c r="Q31" s="128"/>
      <c r="R31" s="126"/>
      <c r="S31" s="126"/>
    </row>
    <row r="32" spans="2:19" ht="14.25" customHeight="1" x14ac:dyDescent="0.2">
      <c r="B32" s="121">
        <v>26</v>
      </c>
      <c r="C32" s="122" t="s">
        <v>48</v>
      </c>
      <c r="D32" s="130" t="s">
        <v>86</v>
      </c>
      <c r="E32" s="131">
        <v>0.25</v>
      </c>
      <c r="F32" s="131">
        <v>1</v>
      </c>
      <c r="G32" s="124">
        <v>1500</v>
      </c>
      <c r="H32" s="125">
        <v>99.6</v>
      </c>
      <c r="I32" s="126">
        <v>0</v>
      </c>
      <c r="J32" s="126">
        <v>0</v>
      </c>
      <c r="K32" s="126">
        <v>0</v>
      </c>
      <c r="L32" s="126">
        <v>0</v>
      </c>
      <c r="M32" s="126">
        <v>0</v>
      </c>
      <c r="N32" s="127">
        <v>0</v>
      </c>
      <c r="O32" s="126">
        <v>0</v>
      </c>
      <c r="P32" s="126">
        <v>0</v>
      </c>
      <c r="Q32" s="126"/>
      <c r="R32" s="128"/>
      <c r="S32" s="128"/>
    </row>
    <row r="33" spans="2:19" ht="14.25" customHeight="1" x14ac:dyDescent="0.2">
      <c r="B33" s="121">
        <v>27</v>
      </c>
      <c r="C33" s="122" t="s">
        <v>48</v>
      </c>
      <c r="D33" s="130" t="s">
        <v>17</v>
      </c>
      <c r="E33" s="131">
        <v>0</v>
      </c>
      <c r="F33" s="131">
        <v>2</v>
      </c>
      <c r="G33" s="124">
        <v>500</v>
      </c>
      <c r="H33" s="125">
        <v>99</v>
      </c>
      <c r="I33" s="126">
        <v>0</v>
      </c>
      <c r="J33" s="126">
        <v>0</v>
      </c>
      <c r="K33" s="126">
        <v>0</v>
      </c>
      <c r="L33" s="126">
        <v>0</v>
      </c>
      <c r="M33" s="126">
        <v>0</v>
      </c>
      <c r="N33" s="127">
        <v>0</v>
      </c>
      <c r="O33" s="128">
        <v>38</v>
      </c>
      <c r="P33" s="126">
        <v>0</v>
      </c>
      <c r="Q33" s="126"/>
      <c r="R33" s="128"/>
      <c r="S33" s="128"/>
    </row>
    <row r="34" spans="2:19" ht="14.25" customHeight="1" x14ac:dyDescent="0.2">
      <c r="B34" s="121">
        <v>28</v>
      </c>
      <c r="C34" s="122" t="s">
        <v>48</v>
      </c>
      <c r="D34" s="130" t="s">
        <v>87</v>
      </c>
      <c r="E34" s="131">
        <v>0</v>
      </c>
      <c r="F34" s="131">
        <v>2</v>
      </c>
      <c r="G34" s="124">
        <v>750</v>
      </c>
      <c r="H34" s="125">
        <v>99</v>
      </c>
      <c r="I34" s="126">
        <v>0</v>
      </c>
      <c r="J34" s="126">
        <v>0</v>
      </c>
      <c r="K34" s="126">
        <v>0</v>
      </c>
      <c r="L34" s="126">
        <v>0</v>
      </c>
      <c r="M34" s="126">
        <v>0</v>
      </c>
      <c r="N34" s="127">
        <v>0</v>
      </c>
      <c r="O34" s="128">
        <v>40</v>
      </c>
      <c r="P34" s="126">
        <v>0</v>
      </c>
      <c r="Q34" s="126"/>
      <c r="R34" s="128"/>
      <c r="S34" s="128"/>
    </row>
    <row r="35" spans="2:19" ht="14.25" customHeight="1" x14ac:dyDescent="0.2">
      <c r="B35" s="121">
        <v>29</v>
      </c>
      <c r="C35" s="122" t="s">
        <v>48</v>
      </c>
      <c r="D35" s="130" t="s">
        <v>88</v>
      </c>
      <c r="E35" s="131">
        <v>0</v>
      </c>
      <c r="F35" s="131">
        <v>2</v>
      </c>
      <c r="G35" s="124">
        <v>20000</v>
      </c>
      <c r="H35" s="125">
        <v>93.5</v>
      </c>
      <c r="I35" s="126">
        <v>0</v>
      </c>
      <c r="J35" s="126">
        <v>0</v>
      </c>
      <c r="K35" s="126">
        <v>0</v>
      </c>
      <c r="L35" s="126">
        <v>0</v>
      </c>
      <c r="M35" s="126">
        <v>0</v>
      </c>
      <c r="N35" s="127">
        <v>0</v>
      </c>
      <c r="O35" s="128">
        <v>22.72</v>
      </c>
      <c r="P35" s="128">
        <v>17.68</v>
      </c>
      <c r="Q35" s="126"/>
      <c r="R35" s="128"/>
      <c r="S35" s="128"/>
    </row>
    <row r="36" spans="2:19" ht="14.25" customHeight="1" x14ac:dyDescent="0.2">
      <c r="B36" s="121">
        <v>30</v>
      </c>
      <c r="C36" s="122" t="s">
        <v>48</v>
      </c>
      <c r="D36" s="130" t="s">
        <v>89</v>
      </c>
      <c r="E36" s="131">
        <v>0</v>
      </c>
      <c r="F36" s="131">
        <v>1</v>
      </c>
      <c r="G36" s="124">
        <v>15000</v>
      </c>
      <c r="H36" s="125">
        <v>93.5</v>
      </c>
      <c r="I36" s="126">
        <v>0</v>
      </c>
      <c r="J36" s="126">
        <v>0</v>
      </c>
      <c r="K36" s="126">
        <v>0</v>
      </c>
      <c r="L36" s="126">
        <v>0</v>
      </c>
      <c r="M36" s="126">
        <v>0</v>
      </c>
      <c r="N36" s="127">
        <v>0</v>
      </c>
      <c r="O36" s="128">
        <v>16</v>
      </c>
      <c r="P36" s="128">
        <v>12</v>
      </c>
      <c r="Q36" s="126"/>
      <c r="R36" s="128"/>
      <c r="S36" s="128"/>
    </row>
    <row r="37" spans="2:19" ht="14.25" customHeight="1" x14ac:dyDescent="0.2">
      <c r="B37" s="121">
        <v>31</v>
      </c>
      <c r="C37" s="122" t="s">
        <v>48</v>
      </c>
      <c r="D37" s="133" t="s">
        <v>81</v>
      </c>
      <c r="E37" s="123">
        <v>0</v>
      </c>
      <c r="F37" s="131">
        <v>1</v>
      </c>
      <c r="G37" s="134">
        <v>30000</v>
      </c>
      <c r="H37" s="135">
        <v>98</v>
      </c>
      <c r="I37" s="135">
        <v>0</v>
      </c>
      <c r="J37" s="136">
        <v>0</v>
      </c>
      <c r="K37" s="136">
        <v>0</v>
      </c>
      <c r="L37" s="135">
        <v>0</v>
      </c>
      <c r="M37" s="135">
        <v>0</v>
      </c>
      <c r="N37" s="127">
        <v>0</v>
      </c>
      <c r="O37" s="137">
        <v>4</v>
      </c>
      <c r="P37" s="137">
        <v>2</v>
      </c>
      <c r="Q37" s="137"/>
      <c r="R37" s="128"/>
      <c r="S37" s="126"/>
    </row>
    <row r="38" spans="2:19" ht="14.25" customHeight="1" x14ac:dyDescent="0.2">
      <c r="B38" s="121">
        <v>32</v>
      </c>
      <c r="C38" s="122" t="s">
        <v>47</v>
      </c>
      <c r="D38" s="133" t="s">
        <v>53</v>
      </c>
      <c r="E38" s="123">
        <v>0</v>
      </c>
      <c r="F38" s="131">
        <v>10</v>
      </c>
      <c r="G38" s="134">
        <v>20000</v>
      </c>
      <c r="H38" s="135">
        <v>94</v>
      </c>
      <c r="I38" s="135">
        <v>7.9</v>
      </c>
      <c r="J38" s="136">
        <v>35.200000000000003</v>
      </c>
      <c r="K38" s="136">
        <v>1</v>
      </c>
      <c r="L38" s="135">
        <v>3.03</v>
      </c>
      <c r="M38" s="135">
        <v>52.9</v>
      </c>
      <c r="N38" s="135">
        <v>85.5</v>
      </c>
      <c r="O38" s="137">
        <v>1.33</v>
      </c>
      <c r="P38" s="137">
        <v>1.0900000000000001</v>
      </c>
      <c r="Q38" s="126"/>
      <c r="R38" s="128"/>
      <c r="S38" s="128"/>
    </row>
    <row r="39" spans="2:19" ht="14.25" customHeight="1" x14ac:dyDescent="0.2">
      <c r="B39" s="121">
        <v>33</v>
      </c>
      <c r="C39" s="122"/>
      <c r="D39" s="130"/>
      <c r="E39" s="131"/>
      <c r="F39" s="131"/>
      <c r="G39" s="124">
        <v>0</v>
      </c>
      <c r="H39" s="125">
        <v>0</v>
      </c>
      <c r="I39" s="126">
        <v>0</v>
      </c>
      <c r="J39" s="126">
        <v>0</v>
      </c>
      <c r="K39" s="126">
        <v>0</v>
      </c>
      <c r="L39" s="126">
        <v>0</v>
      </c>
      <c r="M39" s="126">
        <v>0</v>
      </c>
      <c r="N39" s="127">
        <v>0</v>
      </c>
      <c r="O39" s="126">
        <v>0</v>
      </c>
      <c r="P39" s="126">
        <v>0</v>
      </c>
      <c r="Q39" s="126"/>
      <c r="R39" s="128"/>
      <c r="S39" s="128"/>
    </row>
    <row r="40" spans="2:19" ht="14.25" customHeight="1" x14ac:dyDescent="0.2">
      <c r="B40" s="121">
        <v>34</v>
      </c>
      <c r="C40" s="122"/>
      <c r="D40" s="130"/>
      <c r="E40" s="131"/>
      <c r="F40" s="131"/>
      <c r="G40" s="124">
        <v>0</v>
      </c>
      <c r="H40" s="125">
        <v>0</v>
      </c>
      <c r="I40" s="126">
        <v>0</v>
      </c>
      <c r="J40" s="126">
        <v>0</v>
      </c>
      <c r="K40" s="126">
        <v>0</v>
      </c>
      <c r="L40" s="126">
        <v>0</v>
      </c>
      <c r="M40" s="126">
        <v>0</v>
      </c>
      <c r="N40" s="127">
        <v>0</v>
      </c>
      <c r="O40" s="126">
        <v>0</v>
      </c>
      <c r="P40" s="126">
        <v>0</v>
      </c>
      <c r="Q40" s="126"/>
      <c r="R40" s="128"/>
      <c r="S40" s="128"/>
    </row>
    <row r="41" spans="2:19" ht="14.25" customHeight="1" x14ac:dyDescent="0.2">
      <c r="B41" s="121">
        <v>35</v>
      </c>
      <c r="C41" s="122"/>
      <c r="D41" s="130"/>
      <c r="E41" s="131"/>
      <c r="F41" s="131"/>
      <c r="G41" s="124">
        <v>0</v>
      </c>
      <c r="H41" s="125">
        <v>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7">
        <v>0</v>
      </c>
      <c r="O41" s="126">
        <v>0</v>
      </c>
      <c r="P41" s="126">
        <v>0</v>
      </c>
      <c r="Q41" s="126"/>
      <c r="R41" s="128"/>
      <c r="S41" s="128"/>
    </row>
    <row r="42" spans="2:19" ht="14.25" customHeight="1" x14ac:dyDescent="0.2">
      <c r="B42" s="121">
        <v>36</v>
      </c>
      <c r="C42" s="122"/>
      <c r="D42" s="130"/>
      <c r="E42" s="131"/>
      <c r="F42" s="131"/>
      <c r="G42" s="124">
        <v>0</v>
      </c>
      <c r="H42" s="125">
        <v>0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7">
        <v>0</v>
      </c>
      <c r="O42" s="126">
        <v>0</v>
      </c>
      <c r="P42" s="126">
        <v>0</v>
      </c>
      <c r="Q42" s="126"/>
      <c r="R42" s="128"/>
      <c r="S42" s="128"/>
    </row>
    <row r="43" spans="2:19" ht="14.25" customHeight="1" x14ac:dyDescent="0.2">
      <c r="B43" s="121">
        <v>37</v>
      </c>
      <c r="C43" s="122"/>
      <c r="D43" s="130"/>
      <c r="E43" s="131"/>
      <c r="F43" s="131"/>
      <c r="G43" s="124">
        <v>0</v>
      </c>
      <c r="H43" s="125">
        <v>0</v>
      </c>
      <c r="I43" s="126">
        <v>0</v>
      </c>
      <c r="J43" s="126">
        <v>0</v>
      </c>
      <c r="K43" s="126">
        <v>0</v>
      </c>
      <c r="L43" s="126">
        <v>0</v>
      </c>
      <c r="M43" s="126">
        <v>0</v>
      </c>
      <c r="N43" s="127">
        <v>0</v>
      </c>
      <c r="O43" s="126">
        <v>0</v>
      </c>
      <c r="P43" s="126">
        <v>0</v>
      </c>
      <c r="Q43" s="126"/>
      <c r="R43" s="128"/>
      <c r="S43" s="128"/>
    </row>
    <row r="44" spans="2:19" ht="14.25" customHeight="1" x14ac:dyDescent="0.2">
      <c r="B44" s="121">
        <v>38</v>
      </c>
      <c r="C44" s="122"/>
      <c r="D44" s="130"/>
      <c r="E44" s="131"/>
      <c r="F44" s="131"/>
      <c r="G44" s="124">
        <v>0</v>
      </c>
      <c r="H44" s="125">
        <v>0</v>
      </c>
      <c r="I44" s="126">
        <v>0</v>
      </c>
      <c r="J44" s="126">
        <v>0</v>
      </c>
      <c r="K44" s="126">
        <v>0</v>
      </c>
      <c r="L44" s="126">
        <v>0</v>
      </c>
      <c r="M44" s="126">
        <v>0</v>
      </c>
      <c r="N44" s="127">
        <v>0</v>
      </c>
      <c r="O44" s="126">
        <v>0</v>
      </c>
      <c r="P44" s="126">
        <v>0</v>
      </c>
      <c r="Q44" s="126"/>
      <c r="R44" s="128"/>
      <c r="S44" s="128"/>
    </row>
    <row r="45" spans="2:19" ht="14.25" customHeight="1" x14ac:dyDescent="0.2">
      <c r="B45" s="121">
        <v>39</v>
      </c>
      <c r="C45" s="122"/>
      <c r="D45" s="130"/>
      <c r="E45" s="131"/>
      <c r="F45" s="131"/>
      <c r="G45" s="124">
        <v>0</v>
      </c>
      <c r="H45" s="125">
        <v>0</v>
      </c>
      <c r="I45" s="126">
        <v>0</v>
      </c>
      <c r="J45" s="126">
        <v>0</v>
      </c>
      <c r="K45" s="126">
        <v>0</v>
      </c>
      <c r="L45" s="126">
        <v>0</v>
      </c>
      <c r="M45" s="126">
        <v>0</v>
      </c>
      <c r="N45" s="127">
        <v>0</v>
      </c>
      <c r="O45" s="126">
        <v>0</v>
      </c>
      <c r="P45" s="126">
        <v>0</v>
      </c>
      <c r="Q45" s="126"/>
      <c r="R45" s="128"/>
      <c r="S45" s="128"/>
    </row>
    <row r="46" spans="2:19" ht="14.25" customHeight="1" x14ac:dyDescent="0.2">
      <c r="B46" s="121">
        <v>40</v>
      </c>
      <c r="C46" s="122"/>
      <c r="D46" s="130"/>
      <c r="E46" s="131"/>
      <c r="F46" s="131"/>
      <c r="G46" s="124">
        <v>0</v>
      </c>
      <c r="H46" s="125">
        <v>0</v>
      </c>
      <c r="I46" s="126">
        <v>0</v>
      </c>
      <c r="J46" s="126">
        <v>0</v>
      </c>
      <c r="K46" s="126">
        <v>0</v>
      </c>
      <c r="L46" s="126">
        <v>0</v>
      </c>
      <c r="M46" s="126">
        <v>0</v>
      </c>
      <c r="N46" s="127">
        <v>0</v>
      </c>
      <c r="O46" s="126">
        <v>0</v>
      </c>
      <c r="P46" s="126">
        <v>0</v>
      </c>
      <c r="Q46" s="126"/>
      <c r="R46" s="128"/>
      <c r="S46" s="128"/>
    </row>
    <row r="47" spans="2:19" ht="14.25" customHeight="1" x14ac:dyDescent="0.2">
      <c r="B47" s="121">
        <v>41</v>
      </c>
      <c r="C47" s="122"/>
      <c r="D47" s="130"/>
      <c r="E47" s="131"/>
      <c r="F47" s="131"/>
      <c r="G47" s="124">
        <v>0</v>
      </c>
      <c r="H47" s="125">
        <v>0</v>
      </c>
      <c r="I47" s="126">
        <v>0</v>
      </c>
      <c r="J47" s="126">
        <v>0</v>
      </c>
      <c r="K47" s="126">
        <v>0</v>
      </c>
      <c r="L47" s="126">
        <v>0</v>
      </c>
      <c r="M47" s="126">
        <v>0</v>
      </c>
      <c r="N47" s="127">
        <v>0</v>
      </c>
      <c r="O47" s="126">
        <v>0</v>
      </c>
      <c r="P47" s="126">
        <v>0</v>
      </c>
      <c r="Q47" s="126"/>
      <c r="R47" s="128"/>
      <c r="S47" s="128"/>
    </row>
    <row r="48" spans="2:19" ht="14.25" customHeight="1" x14ac:dyDescent="0.2">
      <c r="B48" s="121">
        <v>42</v>
      </c>
      <c r="C48" s="122"/>
      <c r="D48" s="130"/>
      <c r="E48" s="131"/>
      <c r="F48" s="131"/>
      <c r="G48" s="124">
        <v>0</v>
      </c>
      <c r="H48" s="125">
        <v>0</v>
      </c>
      <c r="I48" s="126">
        <v>0</v>
      </c>
      <c r="J48" s="126">
        <v>0</v>
      </c>
      <c r="K48" s="126">
        <v>0</v>
      </c>
      <c r="L48" s="126">
        <v>0</v>
      </c>
      <c r="M48" s="126">
        <v>0</v>
      </c>
      <c r="N48" s="127">
        <v>0</v>
      </c>
      <c r="O48" s="126">
        <v>0</v>
      </c>
      <c r="P48" s="126">
        <v>0</v>
      </c>
      <c r="Q48" s="126"/>
      <c r="R48" s="128"/>
      <c r="S48" s="128"/>
    </row>
    <row r="49" spans="2:24" ht="14.25" customHeight="1" x14ac:dyDescent="0.2">
      <c r="B49" s="121">
        <v>43</v>
      </c>
      <c r="C49" s="122"/>
      <c r="D49" s="130"/>
      <c r="E49" s="131"/>
      <c r="F49" s="131"/>
      <c r="G49" s="124">
        <v>0</v>
      </c>
      <c r="H49" s="125">
        <v>0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7">
        <v>0</v>
      </c>
      <c r="O49" s="126">
        <v>0</v>
      </c>
      <c r="P49" s="126">
        <v>0</v>
      </c>
      <c r="Q49" s="126"/>
      <c r="R49" s="128"/>
      <c r="S49" s="128"/>
    </row>
    <row r="50" spans="2:24" ht="14.25" customHeight="1" x14ac:dyDescent="0.2">
      <c r="B50" s="121">
        <v>44</v>
      </c>
      <c r="C50" s="122"/>
      <c r="D50" s="130"/>
      <c r="E50" s="131"/>
      <c r="F50" s="131"/>
      <c r="G50" s="124">
        <v>0</v>
      </c>
      <c r="H50" s="125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7">
        <v>0</v>
      </c>
      <c r="O50" s="126">
        <v>0</v>
      </c>
      <c r="P50" s="126">
        <v>0</v>
      </c>
      <c r="Q50" s="126"/>
      <c r="R50" s="128"/>
      <c r="S50" s="128"/>
    </row>
    <row r="51" spans="2:24" ht="14.25" customHeight="1" x14ac:dyDescent="0.2">
      <c r="B51" s="121">
        <v>45</v>
      </c>
      <c r="C51" s="122"/>
      <c r="D51" s="130"/>
      <c r="E51" s="131"/>
      <c r="F51" s="131"/>
      <c r="G51" s="124">
        <v>0</v>
      </c>
      <c r="H51" s="125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7">
        <v>0</v>
      </c>
      <c r="O51" s="126">
        <v>0</v>
      </c>
      <c r="P51" s="126">
        <v>0</v>
      </c>
      <c r="Q51" s="126"/>
      <c r="R51" s="128"/>
      <c r="S51" s="128"/>
    </row>
    <row r="52" spans="2:24" ht="14.25" customHeight="1" x14ac:dyDescent="0.2">
      <c r="B52" s="121">
        <v>46</v>
      </c>
      <c r="C52" s="122"/>
      <c r="D52" s="130"/>
      <c r="E52" s="131"/>
      <c r="F52" s="131"/>
      <c r="G52" s="124">
        <v>0</v>
      </c>
      <c r="H52" s="125">
        <v>0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7">
        <v>0</v>
      </c>
      <c r="O52" s="126">
        <v>0</v>
      </c>
      <c r="P52" s="126">
        <v>0</v>
      </c>
      <c r="Q52" s="126"/>
      <c r="R52" s="128"/>
      <c r="S52" s="128"/>
    </row>
    <row r="53" spans="2:24" ht="14.25" customHeight="1" x14ac:dyDescent="0.2">
      <c r="B53" s="121">
        <v>47</v>
      </c>
      <c r="C53" s="122"/>
      <c r="D53" s="130"/>
      <c r="E53" s="131"/>
      <c r="F53" s="131"/>
      <c r="G53" s="124">
        <v>0</v>
      </c>
      <c r="H53" s="125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7">
        <v>0</v>
      </c>
      <c r="O53" s="126">
        <v>0</v>
      </c>
      <c r="P53" s="126">
        <v>0</v>
      </c>
      <c r="Q53" s="126"/>
      <c r="R53" s="128"/>
      <c r="S53" s="128"/>
    </row>
    <row r="54" spans="2:24" ht="14.25" customHeight="1" x14ac:dyDescent="0.2">
      <c r="B54" s="121">
        <v>48</v>
      </c>
      <c r="C54" s="122"/>
      <c r="D54" s="130"/>
      <c r="E54" s="131"/>
      <c r="F54" s="131"/>
      <c r="G54" s="124">
        <v>0</v>
      </c>
      <c r="H54" s="125">
        <v>0</v>
      </c>
      <c r="I54" s="126">
        <v>0</v>
      </c>
      <c r="J54" s="126">
        <v>0</v>
      </c>
      <c r="K54" s="126">
        <v>0</v>
      </c>
      <c r="L54" s="126">
        <v>0</v>
      </c>
      <c r="M54" s="126">
        <v>0</v>
      </c>
      <c r="N54" s="127">
        <v>0</v>
      </c>
      <c r="O54" s="126">
        <v>0</v>
      </c>
      <c r="P54" s="126">
        <v>0</v>
      </c>
      <c r="Q54" s="126"/>
      <c r="R54" s="128"/>
      <c r="S54" s="128"/>
    </row>
    <row r="55" spans="2:24" ht="14.25" customHeight="1" x14ac:dyDescent="0.2">
      <c r="B55" s="121">
        <v>49</v>
      </c>
      <c r="C55" s="122"/>
      <c r="D55" s="130"/>
      <c r="E55" s="131"/>
      <c r="F55" s="131"/>
      <c r="G55" s="124">
        <v>0</v>
      </c>
      <c r="H55" s="125">
        <v>0</v>
      </c>
      <c r="I55" s="126">
        <v>0</v>
      </c>
      <c r="J55" s="126">
        <v>0</v>
      </c>
      <c r="K55" s="126">
        <v>0</v>
      </c>
      <c r="L55" s="126">
        <v>0</v>
      </c>
      <c r="M55" s="126">
        <v>0</v>
      </c>
      <c r="N55" s="127">
        <v>0</v>
      </c>
      <c r="O55" s="126">
        <v>0</v>
      </c>
      <c r="P55" s="126">
        <v>0</v>
      </c>
      <c r="Q55" s="126"/>
      <c r="R55" s="128"/>
      <c r="S55" s="128"/>
    </row>
    <row r="56" spans="2:24" ht="14.25" customHeight="1" x14ac:dyDescent="0.2">
      <c r="B56" s="121">
        <v>50</v>
      </c>
      <c r="C56" s="122"/>
      <c r="D56" s="130"/>
      <c r="E56" s="131"/>
      <c r="F56" s="131"/>
      <c r="G56" s="124">
        <v>0</v>
      </c>
      <c r="H56" s="125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7">
        <v>0</v>
      </c>
      <c r="O56" s="126">
        <v>0</v>
      </c>
      <c r="P56" s="126">
        <v>0</v>
      </c>
      <c r="Q56" s="126"/>
      <c r="R56" s="128"/>
      <c r="S56" s="128"/>
    </row>
    <row r="57" spans="2:24" ht="14.25" customHeight="1" x14ac:dyDescent="0.2">
      <c r="D57" s="117"/>
      <c r="T57" s="114"/>
      <c r="U57" s="114"/>
      <c r="V57" s="114"/>
      <c r="W57" s="114"/>
      <c r="X57" s="114"/>
    </row>
    <row r="58" spans="2:24" ht="14.25" customHeight="1" x14ac:dyDescent="0.2">
      <c r="D58" s="114"/>
      <c r="T58" s="114"/>
      <c r="U58" s="114"/>
      <c r="V58" s="114"/>
      <c r="W58" s="114"/>
      <c r="X58" s="114"/>
    </row>
    <row r="59" spans="2:24" ht="14.25" customHeight="1" x14ac:dyDescent="0.2">
      <c r="D59" s="114"/>
      <c r="T59" s="114"/>
      <c r="U59" s="114"/>
      <c r="V59" s="114"/>
      <c r="W59" s="114"/>
      <c r="X59" s="114"/>
    </row>
    <row r="60" spans="2:24" ht="14.25" customHeight="1" x14ac:dyDescent="0.2">
      <c r="D60" s="114"/>
      <c r="T60" s="114"/>
      <c r="U60" s="114"/>
      <c r="V60" s="114"/>
      <c r="W60" s="114"/>
      <c r="X60" s="114"/>
    </row>
    <row r="61" spans="2:24" ht="14.25" customHeight="1" x14ac:dyDescent="0.2">
      <c r="D61" s="114"/>
      <c r="T61" s="114"/>
      <c r="U61" s="114"/>
      <c r="V61" s="114"/>
      <c r="W61" s="114"/>
      <c r="X61" s="114"/>
    </row>
    <row r="62" spans="2:24" x14ac:dyDescent="0.2">
      <c r="D62" s="114"/>
      <c r="T62" s="114"/>
      <c r="U62" s="114"/>
      <c r="V62" s="114"/>
      <c r="W62" s="114"/>
      <c r="X62" s="114"/>
    </row>
    <row r="63" spans="2:24" x14ac:dyDescent="0.2">
      <c r="D63" s="114"/>
      <c r="T63" s="114"/>
      <c r="U63" s="114"/>
      <c r="V63" s="114"/>
      <c r="W63" s="114"/>
      <c r="X63" s="114"/>
    </row>
    <row r="64" spans="2:24" x14ac:dyDescent="0.2">
      <c r="D64" s="114"/>
      <c r="T64" s="114"/>
      <c r="U64" s="114"/>
      <c r="V64" s="114"/>
      <c r="W64" s="114"/>
      <c r="X64" s="114"/>
    </row>
    <row r="65" spans="4:24" x14ac:dyDescent="0.2">
      <c r="D65" s="114"/>
      <c r="T65" s="114"/>
      <c r="U65" s="114"/>
      <c r="V65" s="114"/>
      <c r="W65" s="114"/>
      <c r="X65" s="114"/>
    </row>
    <row r="66" spans="4:24" x14ac:dyDescent="0.2">
      <c r="D66" s="114"/>
      <c r="T66" s="114"/>
      <c r="U66" s="114"/>
      <c r="V66" s="114"/>
      <c r="W66" s="114"/>
      <c r="X66" s="114"/>
    </row>
    <row r="67" spans="4:24" x14ac:dyDescent="0.2">
      <c r="D67" s="114"/>
      <c r="T67" s="114"/>
      <c r="U67" s="114"/>
      <c r="V67" s="114"/>
      <c r="W67" s="114"/>
      <c r="X67" s="114"/>
    </row>
    <row r="68" spans="4:24" x14ac:dyDescent="0.2">
      <c r="D68" s="114"/>
      <c r="T68" s="114"/>
      <c r="U68" s="114"/>
      <c r="V68" s="114"/>
      <c r="W68" s="114"/>
      <c r="X68" s="114"/>
    </row>
    <row r="69" spans="4:24" x14ac:dyDescent="0.2">
      <c r="K69" s="118"/>
      <c r="L69" s="118"/>
      <c r="M69" s="118"/>
      <c r="O69" s="118"/>
    </row>
    <row r="70" spans="4:24" x14ac:dyDescent="0.2">
      <c r="K70" s="118"/>
      <c r="L70" s="118"/>
      <c r="M70" s="118"/>
      <c r="O70" s="118"/>
    </row>
    <row r="71" spans="4:24" x14ac:dyDescent="0.2">
      <c r="K71" s="118"/>
      <c r="L71" s="118"/>
      <c r="M71" s="118"/>
      <c r="O71" s="118"/>
    </row>
    <row r="72" spans="4:24" x14ac:dyDescent="0.2">
      <c r="K72" s="118"/>
      <c r="L72" s="118"/>
      <c r="M72" s="118"/>
      <c r="O72" s="118"/>
    </row>
    <row r="73" spans="4:24" x14ac:dyDescent="0.2">
      <c r="K73" s="118"/>
      <c r="L73" s="118"/>
      <c r="M73" s="118"/>
      <c r="O73" s="118"/>
    </row>
    <row r="74" spans="4:24" x14ac:dyDescent="0.2">
      <c r="K74" s="118"/>
      <c r="L74" s="118"/>
      <c r="M74" s="118"/>
      <c r="O74" s="118"/>
    </row>
    <row r="75" spans="4:24" x14ac:dyDescent="0.2">
      <c r="K75" s="118"/>
      <c r="L75" s="118"/>
      <c r="M75" s="118"/>
      <c r="O75" s="118"/>
    </row>
    <row r="76" spans="4:24" x14ac:dyDescent="0.2">
      <c r="K76" s="118"/>
      <c r="L76" s="118"/>
      <c r="M76" s="118"/>
      <c r="O76" s="118"/>
    </row>
    <row r="77" spans="4:24" x14ac:dyDescent="0.2">
      <c r="K77" s="118"/>
      <c r="L77" s="118"/>
      <c r="M77" s="118"/>
      <c r="N77" s="118"/>
      <c r="O77" s="118"/>
    </row>
    <row r="78" spans="4:24" x14ac:dyDescent="0.2">
      <c r="K78" s="118"/>
      <c r="L78" s="118"/>
      <c r="M78" s="118"/>
      <c r="N78" s="118"/>
      <c r="O78" s="118"/>
    </row>
    <row r="79" spans="4:24" x14ac:dyDescent="0.2">
      <c r="K79" s="118"/>
      <c r="L79" s="118"/>
      <c r="M79" s="118"/>
      <c r="N79" s="118"/>
      <c r="O79" s="118"/>
    </row>
    <row r="80" spans="4:24" x14ac:dyDescent="0.2">
      <c r="K80" s="118"/>
      <c r="L80" s="118"/>
      <c r="M80" s="118"/>
      <c r="N80" s="118"/>
      <c r="O80" s="118"/>
    </row>
    <row r="81" spans="11:15" x14ac:dyDescent="0.2">
      <c r="K81" s="118"/>
      <c r="L81" s="118"/>
      <c r="M81" s="118"/>
      <c r="N81" s="118"/>
      <c r="O81" s="118"/>
    </row>
    <row r="82" spans="11:15" x14ac:dyDescent="0.2">
      <c r="K82" s="118"/>
      <c r="L82" s="118"/>
      <c r="M82" s="118"/>
      <c r="N82" s="118"/>
      <c r="O82" s="118"/>
    </row>
    <row r="83" spans="11:15" x14ac:dyDescent="0.2">
      <c r="K83" s="118"/>
      <c r="L83" s="118"/>
      <c r="M83" s="118"/>
      <c r="N83" s="118"/>
      <c r="O83" s="118"/>
    </row>
    <row r="84" spans="11:15" x14ac:dyDescent="0.2">
      <c r="K84" s="118"/>
      <c r="L84" s="118"/>
      <c r="M84" s="118"/>
      <c r="N84" s="118"/>
      <c r="O84" s="118"/>
    </row>
    <row r="85" spans="11:15" x14ac:dyDescent="0.2">
      <c r="K85" s="118"/>
      <c r="L85" s="118"/>
      <c r="M85" s="118"/>
      <c r="N85" s="118"/>
      <c r="O85" s="118"/>
    </row>
    <row r="86" spans="11:15" x14ac:dyDescent="0.2">
      <c r="K86" s="118"/>
      <c r="L86" s="118"/>
      <c r="M86" s="118"/>
      <c r="N86" s="118"/>
      <c r="O86" s="118"/>
    </row>
    <row r="87" spans="11:15" x14ac:dyDescent="0.2">
      <c r="K87" s="118"/>
      <c r="L87" s="118"/>
      <c r="M87" s="118"/>
      <c r="N87" s="118"/>
      <c r="O87" s="118"/>
    </row>
    <row r="88" spans="11:15" x14ac:dyDescent="0.2">
      <c r="K88" s="118"/>
      <c r="L88" s="118"/>
      <c r="M88" s="118"/>
      <c r="N88" s="118"/>
      <c r="O88" s="118"/>
    </row>
    <row r="89" spans="11:15" x14ac:dyDescent="0.2">
      <c r="K89" s="118"/>
      <c r="L89" s="118"/>
      <c r="M89" s="118"/>
      <c r="N89" s="118"/>
      <c r="O89" s="118"/>
    </row>
    <row r="90" spans="11:15" x14ac:dyDescent="0.2">
      <c r="K90" s="118"/>
      <c r="L90" s="118"/>
      <c r="M90" s="118"/>
      <c r="N90" s="118"/>
      <c r="O90" s="118"/>
    </row>
    <row r="91" spans="11:15" x14ac:dyDescent="0.2">
      <c r="K91" s="118"/>
      <c r="L91" s="118"/>
      <c r="M91" s="118"/>
      <c r="N91" s="118"/>
      <c r="O91" s="118"/>
    </row>
    <row r="92" spans="11:15" x14ac:dyDescent="0.2">
      <c r="K92" s="118"/>
      <c r="L92" s="118"/>
      <c r="M92" s="118"/>
      <c r="N92" s="118"/>
      <c r="O92" s="118"/>
    </row>
    <row r="93" spans="11:15" x14ac:dyDescent="0.2">
      <c r="K93" s="118"/>
      <c r="L93" s="118"/>
      <c r="M93" s="118"/>
      <c r="N93" s="118"/>
      <c r="O93" s="118"/>
    </row>
    <row r="94" spans="11:15" x14ac:dyDescent="0.2">
      <c r="K94" s="118"/>
      <c r="L94" s="118"/>
      <c r="M94" s="118"/>
      <c r="N94" s="118"/>
      <c r="O94" s="118"/>
    </row>
    <row r="95" spans="11:15" x14ac:dyDescent="0.2">
      <c r="K95" s="118"/>
      <c r="L95" s="118"/>
      <c r="M95" s="118"/>
      <c r="N95" s="118"/>
      <c r="O95" s="118"/>
    </row>
    <row r="96" spans="11:15" x14ac:dyDescent="0.2">
      <c r="K96" s="118"/>
      <c r="L96" s="118"/>
      <c r="M96" s="118"/>
      <c r="N96" s="118"/>
      <c r="O96" s="118"/>
    </row>
    <row r="97" spans="11:15" x14ac:dyDescent="0.2">
      <c r="K97" s="118"/>
      <c r="L97" s="118"/>
      <c r="M97" s="118"/>
      <c r="N97" s="118"/>
      <c r="O97" s="118"/>
    </row>
    <row r="98" spans="11:15" x14ac:dyDescent="0.2">
      <c r="K98" s="118"/>
      <c r="L98" s="118"/>
      <c r="M98" s="118"/>
      <c r="N98" s="118"/>
      <c r="O98" s="118"/>
    </row>
    <row r="99" spans="11:15" x14ac:dyDescent="0.2">
      <c r="K99" s="118"/>
      <c r="L99" s="118"/>
      <c r="M99" s="118"/>
      <c r="N99" s="118"/>
      <c r="O99" s="118"/>
    </row>
    <row r="100" spans="11:15" x14ac:dyDescent="0.2">
      <c r="K100" s="118"/>
      <c r="L100" s="118"/>
      <c r="M100" s="118"/>
      <c r="N100" s="118"/>
      <c r="O100" s="118"/>
    </row>
    <row r="101" spans="11:15" x14ac:dyDescent="0.2">
      <c r="K101" s="118"/>
      <c r="L101" s="118"/>
      <c r="M101" s="118"/>
      <c r="N101" s="118"/>
      <c r="O101" s="118"/>
    </row>
    <row r="102" spans="11:15" x14ac:dyDescent="0.2">
      <c r="K102" s="118"/>
      <c r="L102" s="118"/>
      <c r="M102" s="118"/>
      <c r="N102" s="118"/>
      <c r="O102" s="118"/>
    </row>
    <row r="103" spans="11:15" x14ac:dyDescent="0.2">
      <c r="K103" s="118"/>
      <c r="L103" s="118"/>
      <c r="M103" s="118"/>
      <c r="N103" s="118"/>
      <c r="O103" s="118"/>
    </row>
    <row r="104" spans="11:15" x14ac:dyDescent="0.2">
      <c r="K104" s="118"/>
      <c r="L104" s="118"/>
      <c r="M104" s="118"/>
      <c r="N104" s="118"/>
      <c r="O104" s="118"/>
    </row>
    <row r="105" spans="11:15" x14ac:dyDescent="0.2">
      <c r="K105" s="118"/>
      <c r="L105" s="118"/>
      <c r="M105" s="118"/>
      <c r="N105" s="118"/>
      <c r="O105" s="118"/>
    </row>
    <row r="106" spans="11:15" x14ac:dyDescent="0.2">
      <c r="K106" s="118"/>
      <c r="L106" s="118"/>
      <c r="M106" s="118"/>
      <c r="N106" s="118"/>
      <c r="O106" s="118"/>
    </row>
    <row r="107" spans="11:15" x14ac:dyDescent="0.2">
      <c r="K107" s="118"/>
      <c r="L107" s="118"/>
      <c r="M107" s="118"/>
      <c r="N107" s="118"/>
      <c r="O107" s="118"/>
    </row>
    <row r="108" spans="11:15" x14ac:dyDescent="0.2">
      <c r="K108" s="118"/>
      <c r="L108" s="118"/>
      <c r="M108" s="118"/>
      <c r="N108" s="118"/>
      <c r="O108" s="118"/>
    </row>
    <row r="109" spans="11:15" x14ac:dyDescent="0.2">
      <c r="K109" s="118"/>
      <c r="L109" s="118"/>
      <c r="M109" s="118"/>
      <c r="N109" s="118"/>
      <c r="O109" s="118"/>
    </row>
    <row r="110" spans="11:15" x14ac:dyDescent="0.2">
      <c r="K110" s="118"/>
      <c r="L110" s="118"/>
      <c r="M110" s="118"/>
      <c r="N110" s="118"/>
      <c r="O110" s="118"/>
    </row>
    <row r="111" spans="11:15" x14ac:dyDescent="0.2">
      <c r="K111" s="118"/>
      <c r="L111" s="118"/>
      <c r="M111" s="118"/>
      <c r="N111" s="118"/>
      <c r="O111" s="118"/>
    </row>
    <row r="112" spans="11:15" x14ac:dyDescent="0.2">
      <c r="K112" s="118"/>
      <c r="L112" s="118"/>
      <c r="M112" s="118"/>
      <c r="N112" s="118"/>
      <c r="O112" s="118"/>
    </row>
    <row r="113" spans="11:15" x14ac:dyDescent="0.2">
      <c r="K113" s="118"/>
      <c r="L113" s="118"/>
      <c r="M113" s="118"/>
      <c r="N113" s="118"/>
      <c r="O113" s="118"/>
    </row>
    <row r="114" spans="11:15" x14ac:dyDescent="0.2">
      <c r="K114" s="118"/>
      <c r="L114" s="118"/>
      <c r="M114" s="118"/>
      <c r="N114" s="118"/>
      <c r="O114" s="118"/>
    </row>
    <row r="115" spans="11:15" x14ac:dyDescent="0.2">
      <c r="K115" s="118"/>
      <c r="L115" s="118"/>
      <c r="M115" s="118"/>
      <c r="N115" s="118"/>
      <c r="O115" s="118"/>
    </row>
    <row r="116" spans="11:15" x14ac:dyDescent="0.2">
      <c r="K116" s="118"/>
      <c r="L116" s="118"/>
      <c r="M116" s="118"/>
      <c r="N116" s="118"/>
      <c r="O116" s="118"/>
    </row>
    <row r="117" spans="11:15" x14ac:dyDescent="0.2">
      <c r="K117" s="118"/>
      <c r="L117" s="118"/>
      <c r="M117" s="118"/>
      <c r="N117" s="118"/>
      <c r="O117" s="118"/>
    </row>
    <row r="118" spans="11:15" x14ac:dyDescent="0.2">
      <c r="K118" s="118"/>
      <c r="L118" s="118"/>
      <c r="M118" s="118"/>
      <c r="N118" s="118"/>
      <c r="O118" s="118"/>
    </row>
    <row r="119" spans="11:15" x14ac:dyDescent="0.2">
      <c r="K119" s="118"/>
      <c r="L119" s="118"/>
      <c r="M119" s="118"/>
      <c r="N119" s="118"/>
      <c r="O119" s="118"/>
    </row>
    <row r="120" spans="11:15" x14ac:dyDescent="0.2">
      <c r="K120" s="118"/>
      <c r="L120" s="118"/>
      <c r="M120" s="118"/>
      <c r="N120" s="118"/>
      <c r="O120" s="118"/>
    </row>
    <row r="121" spans="11:15" x14ac:dyDescent="0.2">
      <c r="K121" s="118"/>
      <c r="L121" s="118"/>
      <c r="M121" s="118"/>
      <c r="N121" s="118"/>
      <c r="O121" s="118"/>
    </row>
    <row r="122" spans="11:15" x14ac:dyDescent="0.2">
      <c r="K122" s="118"/>
      <c r="L122" s="118"/>
      <c r="M122" s="118"/>
      <c r="N122" s="118"/>
      <c r="O122" s="118"/>
    </row>
    <row r="123" spans="11:15" x14ac:dyDescent="0.2">
      <c r="K123" s="118"/>
      <c r="L123" s="118"/>
      <c r="M123" s="118"/>
      <c r="N123" s="118"/>
      <c r="O123" s="118"/>
    </row>
    <row r="124" spans="11:15" x14ac:dyDescent="0.2">
      <c r="K124" s="118"/>
      <c r="L124" s="118"/>
      <c r="M124" s="118"/>
      <c r="N124" s="118"/>
      <c r="O124" s="118"/>
    </row>
    <row r="125" spans="11:15" x14ac:dyDescent="0.2">
      <c r="K125" s="118"/>
      <c r="L125" s="118"/>
      <c r="M125" s="118"/>
      <c r="N125" s="118"/>
      <c r="O125" s="118"/>
    </row>
    <row r="126" spans="11:15" x14ac:dyDescent="0.2">
      <c r="K126" s="118"/>
      <c r="L126" s="118"/>
      <c r="M126" s="118"/>
      <c r="N126" s="118"/>
      <c r="O126" s="118"/>
    </row>
    <row r="127" spans="11:15" x14ac:dyDescent="0.2">
      <c r="K127" s="118"/>
      <c r="L127" s="118"/>
      <c r="M127" s="118"/>
      <c r="N127" s="118"/>
      <c r="O127" s="118"/>
    </row>
    <row r="128" spans="11:15" x14ac:dyDescent="0.2">
      <c r="K128" s="118"/>
      <c r="L128" s="118"/>
      <c r="M128" s="118"/>
      <c r="N128" s="118"/>
      <c r="O128" s="118"/>
    </row>
    <row r="129" spans="11:15" x14ac:dyDescent="0.2">
      <c r="K129" s="118"/>
      <c r="L129" s="118"/>
      <c r="M129" s="118"/>
      <c r="N129" s="118"/>
      <c r="O129" s="118"/>
    </row>
    <row r="130" spans="11:15" x14ac:dyDescent="0.2">
      <c r="K130" s="118"/>
      <c r="L130" s="118"/>
      <c r="M130" s="118"/>
      <c r="N130" s="118"/>
      <c r="O130" s="118"/>
    </row>
    <row r="131" spans="11:15" x14ac:dyDescent="0.2">
      <c r="K131" s="118"/>
      <c r="L131" s="118"/>
      <c r="M131" s="118"/>
      <c r="N131" s="118"/>
      <c r="O131" s="118"/>
    </row>
    <row r="132" spans="11:15" x14ac:dyDescent="0.2">
      <c r="K132" s="118"/>
      <c r="L132" s="118"/>
      <c r="M132" s="118"/>
      <c r="N132" s="118"/>
      <c r="O132" s="118"/>
    </row>
    <row r="133" spans="11:15" x14ac:dyDescent="0.2">
      <c r="K133" s="118"/>
      <c r="L133" s="118"/>
      <c r="M133" s="118"/>
      <c r="N133" s="118"/>
      <c r="O133" s="118"/>
    </row>
    <row r="134" spans="11:15" x14ac:dyDescent="0.2">
      <c r="K134" s="118"/>
      <c r="L134" s="118"/>
      <c r="M134" s="118"/>
      <c r="N134" s="118"/>
      <c r="O134" s="118"/>
    </row>
    <row r="135" spans="11:15" x14ac:dyDescent="0.2">
      <c r="K135" s="118"/>
      <c r="L135" s="118"/>
      <c r="M135" s="118"/>
      <c r="N135" s="118"/>
      <c r="O135" s="118"/>
    </row>
    <row r="136" spans="11:15" x14ac:dyDescent="0.2">
      <c r="K136" s="118"/>
      <c r="L136" s="118"/>
      <c r="M136" s="118"/>
      <c r="N136" s="118"/>
      <c r="O136" s="118"/>
    </row>
    <row r="137" spans="11:15" x14ac:dyDescent="0.2">
      <c r="K137" s="118"/>
      <c r="L137" s="118"/>
      <c r="M137" s="118"/>
      <c r="N137" s="118"/>
      <c r="O137" s="118"/>
    </row>
    <row r="138" spans="11:15" x14ac:dyDescent="0.2">
      <c r="K138" s="118"/>
      <c r="L138" s="118"/>
      <c r="M138" s="118"/>
      <c r="N138" s="118"/>
      <c r="O138" s="118"/>
    </row>
    <row r="139" spans="11:15" x14ac:dyDescent="0.2">
      <c r="K139" s="118"/>
      <c r="L139" s="118"/>
      <c r="M139" s="118"/>
      <c r="N139" s="118"/>
      <c r="O139" s="118"/>
    </row>
    <row r="140" spans="11:15" x14ac:dyDescent="0.2">
      <c r="K140" s="118"/>
      <c r="L140" s="118"/>
      <c r="M140" s="118"/>
      <c r="N140" s="118"/>
      <c r="O140" s="118"/>
    </row>
    <row r="141" spans="11:15" x14ac:dyDescent="0.2">
      <c r="K141" s="118"/>
      <c r="L141" s="118"/>
      <c r="M141" s="118"/>
      <c r="N141" s="118"/>
      <c r="O141" s="118"/>
    </row>
    <row r="142" spans="11:15" x14ac:dyDescent="0.2">
      <c r="K142" s="118"/>
      <c r="L142" s="118"/>
      <c r="M142" s="118"/>
      <c r="N142" s="118"/>
      <c r="O142" s="118"/>
    </row>
    <row r="143" spans="11:15" x14ac:dyDescent="0.2">
      <c r="K143" s="118"/>
      <c r="L143" s="118"/>
      <c r="M143" s="118"/>
      <c r="N143" s="118"/>
      <c r="O143" s="118"/>
    </row>
    <row r="144" spans="11:15" x14ac:dyDescent="0.2">
      <c r="K144" s="118"/>
      <c r="L144" s="118"/>
      <c r="M144" s="118"/>
      <c r="N144" s="118"/>
      <c r="O144" s="118"/>
    </row>
    <row r="145" spans="11:15" x14ac:dyDescent="0.2">
      <c r="K145" s="118"/>
      <c r="L145" s="118"/>
      <c r="M145" s="118"/>
      <c r="N145" s="118"/>
      <c r="O145" s="118"/>
    </row>
    <row r="146" spans="11:15" x14ac:dyDescent="0.2">
      <c r="K146" s="118"/>
      <c r="L146" s="118"/>
      <c r="M146" s="118"/>
      <c r="N146" s="118"/>
      <c r="O146" s="118"/>
    </row>
    <row r="147" spans="11:15" x14ac:dyDescent="0.2">
      <c r="K147" s="118"/>
      <c r="L147" s="118"/>
      <c r="M147" s="118"/>
      <c r="N147" s="118"/>
      <c r="O147" s="118"/>
    </row>
    <row r="148" spans="11:15" x14ac:dyDescent="0.2">
      <c r="K148" s="118"/>
      <c r="L148" s="118"/>
      <c r="M148" s="118"/>
      <c r="N148" s="118"/>
      <c r="O148" s="118"/>
    </row>
    <row r="149" spans="11:15" x14ac:dyDescent="0.2">
      <c r="K149" s="118"/>
      <c r="L149" s="118"/>
      <c r="M149" s="118"/>
      <c r="N149" s="118"/>
      <c r="O149" s="118"/>
    </row>
    <row r="150" spans="11:15" x14ac:dyDescent="0.2">
      <c r="K150" s="118"/>
      <c r="L150" s="118"/>
      <c r="M150" s="118"/>
      <c r="N150" s="118"/>
      <c r="O150" s="118"/>
    </row>
    <row r="151" spans="11:15" x14ac:dyDescent="0.2">
      <c r="K151" s="118"/>
      <c r="L151" s="118"/>
      <c r="M151" s="118"/>
      <c r="N151" s="118"/>
      <c r="O151" s="118"/>
    </row>
    <row r="152" spans="11:15" x14ac:dyDescent="0.2">
      <c r="K152" s="118"/>
      <c r="L152" s="118"/>
      <c r="M152" s="118"/>
      <c r="N152" s="118"/>
      <c r="O152" s="118"/>
    </row>
    <row r="153" spans="11:15" x14ac:dyDescent="0.2">
      <c r="K153" s="118"/>
      <c r="L153" s="118"/>
      <c r="M153" s="118"/>
      <c r="N153" s="118"/>
      <c r="O153" s="118"/>
    </row>
    <row r="154" spans="11:15" x14ac:dyDescent="0.2">
      <c r="K154" s="118"/>
      <c r="L154" s="118"/>
      <c r="M154" s="118"/>
      <c r="N154" s="118"/>
      <c r="O154" s="118"/>
    </row>
    <row r="155" spans="11:15" x14ac:dyDescent="0.2">
      <c r="K155" s="118"/>
      <c r="L155" s="118"/>
      <c r="M155" s="118"/>
      <c r="N155" s="118"/>
      <c r="O155" s="118"/>
    </row>
    <row r="156" spans="11:15" x14ac:dyDescent="0.2">
      <c r="K156" s="118"/>
      <c r="L156" s="118"/>
      <c r="M156" s="118"/>
      <c r="N156" s="118"/>
      <c r="O156" s="118"/>
    </row>
    <row r="157" spans="11:15" x14ac:dyDescent="0.2">
      <c r="K157" s="118"/>
      <c r="L157" s="118"/>
      <c r="M157" s="118"/>
      <c r="N157" s="118"/>
      <c r="O157" s="118"/>
    </row>
    <row r="158" spans="11:15" x14ac:dyDescent="0.2">
      <c r="K158" s="118"/>
      <c r="L158" s="118"/>
      <c r="M158" s="118"/>
      <c r="N158" s="118"/>
      <c r="O158" s="118"/>
    </row>
    <row r="159" spans="11:15" x14ac:dyDescent="0.2">
      <c r="K159" s="118"/>
      <c r="L159" s="118"/>
      <c r="M159" s="118"/>
      <c r="N159" s="118"/>
      <c r="O159" s="118"/>
    </row>
    <row r="160" spans="11:15" x14ac:dyDescent="0.2">
      <c r="K160" s="118"/>
      <c r="L160" s="118"/>
      <c r="M160" s="118"/>
      <c r="N160" s="118"/>
      <c r="O160" s="118"/>
    </row>
    <row r="161" spans="11:15" x14ac:dyDescent="0.2">
      <c r="K161" s="118"/>
      <c r="L161" s="118"/>
      <c r="M161" s="118"/>
      <c r="N161" s="118"/>
      <c r="O161" s="118"/>
    </row>
    <row r="162" spans="11:15" x14ac:dyDescent="0.2">
      <c r="K162" s="118"/>
      <c r="L162" s="118"/>
      <c r="M162" s="118"/>
      <c r="N162" s="118"/>
      <c r="O162" s="118"/>
    </row>
    <row r="163" spans="11:15" x14ac:dyDescent="0.2">
      <c r="K163" s="118"/>
      <c r="L163" s="118"/>
      <c r="M163" s="118"/>
      <c r="N163" s="118"/>
      <c r="O163" s="118"/>
    </row>
    <row r="164" spans="11:15" x14ac:dyDescent="0.2">
      <c r="K164" s="118"/>
      <c r="L164" s="118"/>
      <c r="M164" s="118"/>
      <c r="N164" s="118"/>
      <c r="O164" s="118"/>
    </row>
    <row r="165" spans="11:15" x14ac:dyDescent="0.2">
      <c r="K165" s="118"/>
      <c r="L165" s="118"/>
      <c r="M165" s="118"/>
      <c r="N165" s="118"/>
      <c r="O165" s="118"/>
    </row>
    <row r="166" spans="11:15" x14ac:dyDescent="0.2">
      <c r="K166" s="118"/>
      <c r="L166" s="118"/>
      <c r="M166" s="118"/>
      <c r="N166" s="118"/>
      <c r="O166" s="118"/>
    </row>
    <row r="167" spans="11:15" x14ac:dyDescent="0.2">
      <c r="K167" s="118"/>
      <c r="L167" s="118"/>
      <c r="M167" s="118"/>
      <c r="N167" s="118"/>
      <c r="O167" s="118"/>
    </row>
    <row r="168" spans="11:15" x14ac:dyDescent="0.2">
      <c r="K168" s="118"/>
      <c r="L168" s="118"/>
      <c r="M168" s="118"/>
      <c r="N168" s="118"/>
      <c r="O168" s="118"/>
    </row>
    <row r="169" spans="11:15" x14ac:dyDescent="0.2">
      <c r="K169" s="118"/>
      <c r="L169" s="118"/>
      <c r="M169" s="118"/>
      <c r="N169" s="118"/>
      <c r="O169" s="118"/>
    </row>
    <row r="170" spans="11:15" x14ac:dyDescent="0.2">
      <c r="K170" s="118"/>
      <c r="L170" s="118"/>
      <c r="M170" s="118"/>
      <c r="N170" s="118"/>
      <c r="O170" s="118"/>
    </row>
    <row r="171" spans="11:15" x14ac:dyDescent="0.2">
      <c r="K171" s="118"/>
      <c r="L171" s="118"/>
      <c r="M171" s="118"/>
      <c r="N171" s="118"/>
      <c r="O171" s="118"/>
    </row>
    <row r="172" spans="11:15" x14ac:dyDescent="0.2">
      <c r="K172" s="118"/>
      <c r="L172" s="118"/>
      <c r="M172" s="118"/>
      <c r="N172" s="118"/>
      <c r="O172" s="118"/>
    </row>
    <row r="173" spans="11:15" x14ac:dyDescent="0.2">
      <c r="K173" s="118"/>
      <c r="L173" s="118"/>
      <c r="M173" s="118"/>
      <c r="N173" s="118"/>
      <c r="O173" s="118"/>
    </row>
    <row r="174" spans="11:15" x14ac:dyDescent="0.2">
      <c r="K174" s="118"/>
      <c r="L174" s="118"/>
      <c r="M174" s="118"/>
      <c r="N174" s="118"/>
      <c r="O174" s="118"/>
    </row>
    <row r="175" spans="11:15" x14ac:dyDescent="0.2">
      <c r="K175" s="118"/>
      <c r="L175" s="118"/>
      <c r="M175" s="118"/>
      <c r="N175" s="118"/>
      <c r="O175" s="118"/>
    </row>
    <row r="176" spans="11:15" x14ac:dyDescent="0.2">
      <c r="K176" s="118"/>
      <c r="L176" s="118"/>
      <c r="M176" s="118"/>
      <c r="N176" s="118"/>
      <c r="O176" s="118"/>
    </row>
    <row r="177" spans="11:15" x14ac:dyDescent="0.2">
      <c r="K177" s="118"/>
      <c r="L177" s="118"/>
      <c r="M177" s="118"/>
      <c r="N177" s="118"/>
      <c r="O177" s="118"/>
    </row>
    <row r="178" spans="11:15" x14ac:dyDescent="0.2">
      <c r="K178" s="118"/>
      <c r="L178" s="118"/>
      <c r="M178" s="118"/>
      <c r="N178" s="118"/>
      <c r="O178" s="118"/>
    </row>
    <row r="179" spans="11:15" x14ac:dyDescent="0.2">
      <c r="K179" s="118"/>
      <c r="L179" s="118"/>
      <c r="M179" s="118"/>
      <c r="N179" s="118"/>
      <c r="O179" s="118"/>
    </row>
    <row r="180" spans="11:15" x14ac:dyDescent="0.2">
      <c r="K180" s="118"/>
      <c r="L180" s="118"/>
      <c r="M180" s="118"/>
      <c r="N180" s="118"/>
      <c r="O180" s="118"/>
    </row>
    <row r="181" spans="11:15" x14ac:dyDescent="0.2">
      <c r="K181" s="118"/>
      <c r="L181" s="118"/>
      <c r="M181" s="118"/>
      <c r="N181" s="118"/>
      <c r="O181" s="118"/>
    </row>
    <row r="182" spans="11:15" x14ac:dyDescent="0.2">
      <c r="K182" s="118"/>
      <c r="L182" s="118"/>
      <c r="M182" s="118"/>
      <c r="N182" s="118"/>
      <c r="O182" s="118"/>
    </row>
    <row r="183" spans="11:15" x14ac:dyDescent="0.2">
      <c r="K183" s="118"/>
      <c r="L183" s="118"/>
      <c r="M183" s="118"/>
      <c r="N183" s="118"/>
      <c r="O183" s="118"/>
    </row>
    <row r="184" spans="11:15" x14ac:dyDescent="0.2">
      <c r="K184" s="118"/>
      <c r="L184" s="118"/>
      <c r="M184" s="118"/>
      <c r="N184" s="118"/>
      <c r="O184" s="118"/>
    </row>
    <row r="185" spans="11:15" x14ac:dyDescent="0.2">
      <c r="K185" s="118"/>
      <c r="L185" s="118"/>
      <c r="M185" s="118"/>
      <c r="N185" s="118"/>
      <c r="O185" s="118"/>
    </row>
    <row r="186" spans="11:15" x14ac:dyDescent="0.2">
      <c r="K186" s="118"/>
      <c r="L186" s="118"/>
      <c r="M186" s="118"/>
      <c r="N186" s="118"/>
      <c r="O186" s="118"/>
    </row>
    <row r="187" spans="11:15" x14ac:dyDescent="0.2">
      <c r="K187" s="118"/>
      <c r="L187" s="118"/>
      <c r="M187" s="118"/>
      <c r="N187" s="118"/>
      <c r="O187" s="118"/>
    </row>
    <row r="188" spans="11:15" x14ac:dyDescent="0.2">
      <c r="K188" s="118"/>
      <c r="L188" s="118"/>
      <c r="M188" s="118"/>
      <c r="N188" s="118"/>
      <c r="O188" s="118"/>
    </row>
    <row r="189" spans="11:15" x14ac:dyDescent="0.2">
      <c r="K189" s="118"/>
      <c r="L189" s="118"/>
      <c r="M189" s="118"/>
      <c r="N189" s="118"/>
      <c r="O189" s="118"/>
    </row>
    <row r="190" spans="11:15" x14ac:dyDescent="0.2">
      <c r="K190" s="118"/>
      <c r="L190" s="118"/>
      <c r="M190" s="118"/>
      <c r="N190" s="118"/>
      <c r="O190" s="118"/>
    </row>
    <row r="191" spans="11:15" x14ac:dyDescent="0.2">
      <c r="K191" s="118"/>
      <c r="L191" s="118"/>
      <c r="M191" s="118"/>
      <c r="N191" s="118"/>
      <c r="O191" s="118"/>
    </row>
    <row r="192" spans="11:15" x14ac:dyDescent="0.2">
      <c r="K192" s="118"/>
      <c r="L192" s="118"/>
      <c r="M192" s="118"/>
      <c r="N192" s="118"/>
      <c r="O192" s="118"/>
    </row>
    <row r="193" spans="11:15" x14ac:dyDescent="0.2">
      <c r="K193" s="118"/>
      <c r="L193" s="118"/>
      <c r="M193" s="118"/>
      <c r="N193" s="118"/>
      <c r="O193" s="118"/>
    </row>
    <row r="194" spans="11:15" x14ac:dyDescent="0.2">
      <c r="K194" s="118"/>
      <c r="L194" s="118"/>
      <c r="M194" s="118"/>
      <c r="N194" s="118"/>
      <c r="O194" s="118"/>
    </row>
    <row r="195" spans="11:15" x14ac:dyDescent="0.2">
      <c r="K195" s="118"/>
      <c r="L195" s="118"/>
      <c r="M195" s="118"/>
      <c r="N195" s="118"/>
      <c r="O195" s="118"/>
    </row>
    <row r="196" spans="11:15" x14ac:dyDescent="0.2">
      <c r="K196" s="118"/>
      <c r="L196" s="118"/>
      <c r="M196" s="118"/>
      <c r="N196" s="118"/>
      <c r="O196" s="118"/>
    </row>
    <row r="197" spans="11:15" x14ac:dyDescent="0.2">
      <c r="K197" s="118"/>
      <c r="L197" s="118"/>
      <c r="M197" s="118"/>
      <c r="N197" s="118"/>
      <c r="O197" s="118"/>
    </row>
    <row r="198" spans="11:15" x14ac:dyDescent="0.2">
      <c r="K198" s="118"/>
      <c r="L198" s="118"/>
      <c r="M198" s="118"/>
      <c r="N198" s="118"/>
      <c r="O198" s="118"/>
    </row>
    <row r="199" spans="11:15" x14ac:dyDescent="0.2">
      <c r="K199" s="118"/>
      <c r="L199" s="118"/>
      <c r="M199" s="118"/>
      <c r="N199" s="118"/>
      <c r="O199" s="118"/>
    </row>
    <row r="200" spans="11:15" x14ac:dyDescent="0.2">
      <c r="K200" s="118"/>
      <c r="L200" s="118"/>
      <c r="M200" s="118"/>
      <c r="N200" s="118"/>
      <c r="O200" s="118"/>
    </row>
    <row r="201" spans="11:15" x14ac:dyDescent="0.2">
      <c r="K201" s="118"/>
      <c r="L201" s="118"/>
      <c r="M201" s="118"/>
      <c r="N201" s="118"/>
      <c r="O201" s="118"/>
    </row>
    <row r="202" spans="11:15" x14ac:dyDescent="0.2">
      <c r="K202" s="118"/>
      <c r="L202" s="118"/>
      <c r="M202" s="118"/>
      <c r="N202" s="118"/>
      <c r="O202" s="118"/>
    </row>
    <row r="203" spans="11:15" x14ac:dyDescent="0.2">
      <c r="K203" s="118"/>
      <c r="L203" s="118"/>
      <c r="M203" s="118"/>
      <c r="N203" s="118"/>
      <c r="O203" s="118"/>
    </row>
    <row r="204" spans="11:15" x14ac:dyDescent="0.2">
      <c r="K204" s="118"/>
      <c r="L204" s="118"/>
      <c r="M204" s="118"/>
      <c r="N204" s="118"/>
      <c r="O204" s="118"/>
    </row>
    <row r="205" spans="11:15" x14ac:dyDescent="0.2">
      <c r="K205" s="118"/>
      <c r="L205" s="118"/>
      <c r="M205" s="118"/>
      <c r="N205" s="118"/>
      <c r="O205" s="118"/>
    </row>
    <row r="206" spans="11:15" x14ac:dyDescent="0.2">
      <c r="K206" s="118"/>
      <c r="L206" s="118"/>
      <c r="M206" s="118"/>
      <c r="N206" s="118"/>
      <c r="O206" s="118"/>
    </row>
    <row r="207" spans="11:15" x14ac:dyDescent="0.2">
      <c r="K207" s="118"/>
      <c r="L207" s="118"/>
      <c r="M207" s="118"/>
      <c r="N207" s="118"/>
      <c r="O207" s="118"/>
    </row>
    <row r="208" spans="11:15" x14ac:dyDescent="0.2">
      <c r="K208" s="118"/>
      <c r="L208" s="118"/>
      <c r="M208" s="118"/>
      <c r="N208" s="118"/>
      <c r="O208" s="118"/>
    </row>
    <row r="209" spans="11:15" x14ac:dyDescent="0.2">
      <c r="K209" s="118"/>
      <c r="L209" s="118"/>
      <c r="M209" s="118"/>
      <c r="N209" s="118"/>
      <c r="O209" s="118"/>
    </row>
    <row r="210" spans="11:15" x14ac:dyDescent="0.2">
      <c r="K210" s="118"/>
      <c r="L210" s="118"/>
      <c r="M210" s="118"/>
      <c r="N210" s="118"/>
      <c r="O210" s="118"/>
    </row>
    <row r="211" spans="11:15" x14ac:dyDescent="0.2">
      <c r="K211" s="118"/>
      <c r="L211" s="118"/>
      <c r="M211" s="118"/>
      <c r="N211" s="118"/>
      <c r="O211" s="118"/>
    </row>
    <row r="212" spans="11:15" x14ac:dyDescent="0.2">
      <c r="K212" s="118"/>
      <c r="L212" s="118"/>
      <c r="M212" s="118"/>
      <c r="N212" s="118"/>
      <c r="O212" s="118"/>
    </row>
    <row r="213" spans="11:15" x14ac:dyDescent="0.2">
      <c r="K213" s="118"/>
      <c r="L213" s="118"/>
      <c r="M213" s="118"/>
      <c r="N213" s="118"/>
      <c r="O213" s="118"/>
    </row>
    <row r="214" spans="11:15" x14ac:dyDescent="0.2">
      <c r="K214" s="118"/>
      <c r="L214" s="118"/>
      <c r="M214" s="118"/>
      <c r="N214" s="118"/>
      <c r="O214" s="118"/>
    </row>
    <row r="215" spans="11:15" x14ac:dyDescent="0.2">
      <c r="K215" s="118"/>
      <c r="L215" s="118"/>
      <c r="M215" s="118"/>
      <c r="N215" s="118"/>
      <c r="O215" s="118"/>
    </row>
    <row r="216" spans="11:15" x14ac:dyDescent="0.2">
      <c r="K216" s="118"/>
      <c r="L216" s="118"/>
      <c r="M216" s="118"/>
      <c r="N216" s="118"/>
      <c r="O216" s="118"/>
    </row>
    <row r="217" spans="11:15" x14ac:dyDescent="0.2">
      <c r="K217" s="118"/>
      <c r="L217" s="118"/>
      <c r="M217" s="118"/>
      <c r="N217" s="118"/>
      <c r="O217" s="118"/>
    </row>
    <row r="218" spans="11:15" x14ac:dyDescent="0.2">
      <c r="K218" s="118"/>
      <c r="L218" s="118"/>
      <c r="M218" s="118"/>
      <c r="N218" s="118"/>
      <c r="O218" s="118"/>
    </row>
    <row r="219" spans="11:15" x14ac:dyDescent="0.2">
      <c r="K219" s="118"/>
      <c r="L219" s="118"/>
      <c r="M219" s="118"/>
      <c r="N219" s="118"/>
      <c r="O219" s="118"/>
    </row>
    <row r="220" spans="11:15" x14ac:dyDescent="0.2">
      <c r="K220" s="118"/>
      <c r="L220" s="118"/>
      <c r="M220" s="118"/>
      <c r="N220" s="118"/>
      <c r="O220" s="118"/>
    </row>
    <row r="221" spans="11:15" x14ac:dyDescent="0.2">
      <c r="K221" s="118"/>
      <c r="L221" s="118"/>
      <c r="M221" s="118"/>
      <c r="N221" s="118"/>
      <c r="O221" s="118"/>
    </row>
    <row r="222" spans="11:15" x14ac:dyDescent="0.2">
      <c r="K222" s="118"/>
      <c r="L222" s="118"/>
      <c r="M222" s="118"/>
      <c r="N222" s="118"/>
      <c r="O222" s="118"/>
    </row>
    <row r="223" spans="11:15" x14ac:dyDescent="0.2">
      <c r="K223" s="118"/>
      <c r="L223" s="118"/>
      <c r="M223" s="118"/>
      <c r="N223" s="118"/>
      <c r="O223" s="118"/>
    </row>
    <row r="224" spans="11:15" x14ac:dyDescent="0.2">
      <c r="K224" s="118"/>
      <c r="L224" s="118"/>
      <c r="M224" s="118"/>
      <c r="N224" s="118"/>
      <c r="O224" s="118"/>
    </row>
    <row r="225" spans="11:15" x14ac:dyDescent="0.2">
      <c r="K225" s="118"/>
      <c r="L225" s="118"/>
      <c r="M225" s="118"/>
      <c r="N225" s="118"/>
      <c r="O225" s="118"/>
    </row>
    <row r="226" spans="11:15" x14ac:dyDescent="0.2">
      <c r="K226" s="118"/>
      <c r="L226" s="118"/>
      <c r="M226" s="118"/>
      <c r="N226" s="118"/>
      <c r="O226" s="118"/>
    </row>
    <row r="227" spans="11:15" x14ac:dyDescent="0.2">
      <c r="K227" s="118"/>
      <c r="L227" s="118"/>
      <c r="M227" s="118"/>
      <c r="N227" s="118"/>
      <c r="O227" s="118"/>
    </row>
    <row r="228" spans="11:15" x14ac:dyDescent="0.2">
      <c r="K228" s="118"/>
      <c r="L228" s="118"/>
      <c r="M228" s="118"/>
      <c r="N228" s="118"/>
      <c r="O228" s="118"/>
    </row>
    <row r="229" spans="11:15" x14ac:dyDescent="0.2">
      <c r="K229" s="118"/>
      <c r="L229" s="118"/>
      <c r="M229" s="118"/>
      <c r="N229" s="118"/>
      <c r="O229" s="118"/>
    </row>
    <row r="230" spans="11:15" x14ac:dyDescent="0.2">
      <c r="K230" s="118"/>
      <c r="L230" s="118"/>
      <c r="M230" s="118"/>
      <c r="N230" s="118"/>
      <c r="O230" s="118"/>
    </row>
    <row r="231" spans="11:15" x14ac:dyDescent="0.2">
      <c r="K231" s="118"/>
      <c r="L231" s="118"/>
      <c r="M231" s="118"/>
      <c r="N231" s="118"/>
      <c r="O231" s="118"/>
    </row>
    <row r="232" spans="11:15" x14ac:dyDescent="0.2">
      <c r="K232" s="118"/>
      <c r="L232" s="118"/>
      <c r="M232" s="118"/>
      <c r="N232" s="118"/>
      <c r="O232" s="118"/>
    </row>
    <row r="233" spans="11:15" x14ac:dyDescent="0.2">
      <c r="K233" s="118"/>
      <c r="L233" s="118"/>
      <c r="M233" s="118"/>
      <c r="N233" s="118"/>
      <c r="O233" s="118"/>
    </row>
    <row r="234" spans="11:15" x14ac:dyDescent="0.2">
      <c r="K234" s="118"/>
      <c r="L234" s="118"/>
      <c r="M234" s="118"/>
      <c r="N234" s="118"/>
      <c r="O234" s="118"/>
    </row>
    <row r="235" spans="11:15" x14ac:dyDescent="0.2">
      <c r="K235" s="118"/>
      <c r="L235" s="118"/>
      <c r="M235" s="118"/>
      <c r="N235" s="118"/>
      <c r="O235" s="118"/>
    </row>
    <row r="236" spans="11:15" x14ac:dyDescent="0.2">
      <c r="K236" s="118"/>
      <c r="L236" s="118"/>
      <c r="M236" s="118"/>
      <c r="N236" s="118"/>
      <c r="O236" s="118"/>
    </row>
    <row r="237" spans="11:15" x14ac:dyDescent="0.2">
      <c r="K237" s="118"/>
      <c r="L237" s="118"/>
      <c r="M237" s="118"/>
      <c r="N237" s="118"/>
      <c r="O237" s="118"/>
    </row>
    <row r="238" spans="11:15" x14ac:dyDescent="0.2">
      <c r="K238" s="118"/>
      <c r="L238" s="118"/>
      <c r="M238" s="118"/>
      <c r="N238" s="118"/>
      <c r="O238" s="118"/>
    </row>
    <row r="239" spans="11:15" x14ac:dyDescent="0.2">
      <c r="K239" s="118"/>
      <c r="L239" s="118"/>
      <c r="M239" s="118"/>
      <c r="N239" s="118"/>
      <c r="O239" s="118"/>
    </row>
    <row r="240" spans="11:15" x14ac:dyDescent="0.2">
      <c r="K240" s="118"/>
      <c r="L240" s="118"/>
      <c r="M240" s="118"/>
      <c r="N240" s="118"/>
      <c r="O240" s="118"/>
    </row>
    <row r="241" spans="11:15" x14ac:dyDescent="0.2">
      <c r="K241" s="118"/>
      <c r="L241" s="118"/>
      <c r="M241" s="118"/>
      <c r="N241" s="118"/>
      <c r="O241" s="118"/>
    </row>
    <row r="242" spans="11:15" x14ac:dyDescent="0.2">
      <c r="K242" s="118"/>
      <c r="L242" s="118"/>
      <c r="M242" s="118"/>
      <c r="N242" s="118"/>
      <c r="O242" s="118"/>
    </row>
    <row r="243" spans="11:15" x14ac:dyDescent="0.2">
      <c r="K243" s="118"/>
      <c r="L243" s="118"/>
      <c r="M243" s="118"/>
      <c r="N243" s="118"/>
      <c r="O243" s="118"/>
    </row>
    <row r="244" spans="11:15" x14ac:dyDescent="0.2">
      <c r="K244" s="118"/>
      <c r="L244" s="118"/>
      <c r="M244" s="118"/>
      <c r="N244" s="118"/>
      <c r="O244" s="118"/>
    </row>
    <row r="245" spans="11:15" x14ac:dyDescent="0.2">
      <c r="K245" s="118"/>
      <c r="L245" s="118"/>
      <c r="M245" s="118"/>
      <c r="N245" s="118"/>
      <c r="O245" s="118"/>
    </row>
    <row r="246" spans="11:15" x14ac:dyDescent="0.2">
      <c r="K246" s="118"/>
      <c r="L246" s="118"/>
      <c r="M246" s="118"/>
      <c r="N246" s="118"/>
      <c r="O246" s="118"/>
    </row>
    <row r="247" spans="11:15" x14ac:dyDescent="0.2">
      <c r="K247" s="118"/>
      <c r="L247" s="118"/>
      <c r="M247" s="118"/>
      <c r="N247" s="118"/>
      <c r="O247" s="118"/>
    </row>
    <row r="248" spans="11:15" x14ac:dyDescent="0.2">
      <c r="K248" s="118"/>
      <c r="L248" s="118"/>
      <c r="M248" s="118"/>
      <c r="N248" s="118"/>
      <c r="O248" s="118"/>
    </row>
    <row r="249" spans="11:15" x14ac:dyDescent="0.2">
      <c r="K249" s="118"/>
      <c r="L249" s="118"/>
      <c r="M249" s="118"/>
      <c r="N249" s="118"/>
      <c r="O249" s="118"/>
    </row>
    <row r="250" spans="11:15" x14ac:dyDescent="0.2">
      <c r="K250" s="118"/>
      <c r="L250" s="118"/>
      <c r="M250" s="118"/>
      <c r="N250" s="118"/>
      <c r="O250" s="118"/>
    </row>
    <row r="251" spans="11:15" x14ac:dyDescent="0.2">
      <c r="K251" s="118"/>
      <c r="L251" s="118"/>
      <c r="M251" s="118"/>
      <c r="N251" s="118"/>
      <c r="O251" s="118"/>
    </row>
    <row r="252" spans="11:15" x14ac:dyDescent="0.2">
      <c r="K252" s="118"/>
      <c r="L252" s="118"/>
      <c r="M252" s="118"/>
      <c r="N252" s="118"/>
      <c r="O252" s="118"/>
    </row>
    <row r="253" spans="11:15" x14ac:dyDescent="0.2">
      <c r="K253" s="118"/>
      <c r="L253" s="118"/>
      <c r="M253" s="118"/>
      <c r="N253" s="118"/>
      <c r="O253" s="118"/>
    </row>
    <row r="254" spans="11:15" x14ac:dyDescent="0.2">
      <c r="K254" s="118"/>
      <c r="L254" s="118"/>
      <c r="M254" s="118"/>
      <c r="N254" s="118"/>
      <c r="O254" s="118"/>
    </row>
    <row r="255" spans="11:15" x14ac:dyDescent="0.2">
      <c r="K255" s="118"/>
      <c r="L255" s="118"/>
      <c r="M255" s="118"/>
      <c r="N255" s="118"/>
      <c r="O255" s="118"/>
    </row>
    <row r="256" spans="11:15" x14ac:dyDescent="0.2">
      <c r="K256" s="118"/>
      <c r="L256" s="118"/>
      <c r="M256" s="118"/>
      <c r="N256" s="118"/>
      <c r="O256" s="118"/>
    </row>
    <row r="257" spans="11:15" x14ac:dyDescent="0.2">
      <c r="K257" s="118"/>
      <c r="L257" s="118"/>
      <c r="M257" s="118"/>
      <c r="N257" s="118"/>
      <c r="O257" s="118"/>
    </row>
    <row r="258" spans="11:15" x14ac:dyDescent="0.2">
      <c r="K258" s="118"/>
      <c r="L258" s="118"/>
      <c r="M258" s="118"/>
      <c r="N258" s="118"/>
      <c r="O258" s="118"/>
    </row>
    <row r="259" spans="11:15" x14ac:dyDescent="0.2">
      <c r="K259" s="118"/>
      <c r="L259" s="118"/>
      <c r="M259" s="118"/>
      <c r="N259" s="118"/>
      <c r="O259" s="118"/>
    </row>
    <row r="260" spans="11:15" x14ac:dyDescent="0.2">
      <c r="K260" s="118"/>
      <c r="L260" s="118"/>
      <c r="M260" s="118"/>
      <c r="N260" s="118"/>
      <c r="O260" s="118"/>
    </row>
    <row r="261" spans="11:15" x14ac:dyDescent="0.2">
      <c r="K261" s="118"/>
      <c r="L261" s="118"/>
      <c r="M261" s="118"/>
      <c r="N261" s="118"/>
      <c r="O261" s="118"/>
    </row>
    <row r="262" spans="11:15" x14ac:dyDescent="0.2">
      <c r="K262" s="118"/>
      <c r="L262" s="118"/>
      <c r="M262" s="118"/>
      <c r="N262" s="118"/>
      <c r="O262" s="118"/>
    </row>
    <row r="263" spans="11:15" x14ac:dyDescent="0.2">
      <c r="K263" s="118"/>
      <c r="L263" s="118"/>
      <c r="M263" s="118"/>
      <c r="N263" s="118"/>
      <c r="O263" s="118"/>
    </row>
    <row r="264" spans="11:15" x14ac:dyDescent="0.2">
      <c r="K264" s="118"/>
      <c r="L264" s="118"/>
      <c r="M264" s="118"/>
      <c r="N264" s="118"/>
      <c r="O264" s="118"/>
    </row>
    <row r="265" spans="11:15" x14ac:dyDescent="0.2">
      <c r="K265" s="118"/>
      <c r="L265" s="118"/>
      <c r="M265" s="118"/>
      <c r="N265" s="118"/>
      <c r="O265" s="118"/>
    </row>
    <row r="266" spans="11:15" x14ac:dyDescent="0.2">
      <c r="K266" s="118"/>
      <c r="L266" s="118"/>
      <c r="M266" s="118"/>
      <c r="N266" s="118"/>
      <c r="O266" s="118"/>
    </row>
    <row r="267" spans="11:15" x14ac:dyDescent="0.2">
      <c r="K267" s="118"/>
      <c r="L267" s="118"/>
      <c r="M267" s="118"/>
      <c r="N267" s="118"/>
      <c r="O267" s="118"/>
    </row>
    <row r="268" spans="11:15" x14ac:dyDescent="0.2">
      <c r="K268" s="118"/>
      <c r="L268" s="118"/>
      <c r="M268" s="118"/>
      <c r="N268" s="118"/>
      <c r="O268" s="118"/>
    </row>
    <row r="269" spans="11:15" x14ac:dyDescent="0.2">
      <c r="K269" s="118"/>
      <c r="L269" s="118"/>
      <c r="M269" s="118"/>
      <c r="N269" s="118"/>
      <c r="O269" s="118"/>
    </row>
    <row r="270" spans="11:15" x14ac:dyDescent="0.2">
      <c r="K270" s="118"/>
      <c r="L270" s="118"/>
      <c r="M270" s="118"/>
      <c r="N270" s="118"/>
      <c r="O270" s="118"/>
    </row>
    <row r="271" spans="11:15" x14ac:dyDescent="0.2">
      <c r="K271" s="118"/>
      <c r="L271" s="118"/>
      <c r="M271" s="118"/>
      <c r="N271" s="118"/>
      <c r="O271" s="118"/>
    </row>
    <row r="272" spans="11:15" x14ac:dyDescent="0.2">
      <c r="K272" s="118"/>
      <c r="L272" s="118"/>
      <c r="M272" s="118"/>
      <c r="N272" s="118"/>
      <c r="O272" s="118"/>
    </row>
    <row r="273" spans="11:15" x14ac:dyDescent="0.2">
      <c r="K273" s="118"/>
      <c r="L273" s="118"/>
      <c r="M273" s="118"/>
      <c r="N273" s="118"/>
      <c r="O273" s="118"/>
    </row>
    <row r="274" spans="11:15" x14ac:dyDescent="0.2">
      <c r="K274" s="118"/>
      <c r="L274" s="118"/>
      <c r="M274" s="118"/>
      <c r="N274" s="118"/>
      <c r="O274" s="118"/>
    </row>
    <row r="275" spans="11:15" x14ac:dyDescent="0.2">
      <c r="K275" s="118"/>
      <c r="L275" s="118"/>
      <c r="M275" s="118"/>
      <c r="N275" s="118"/>
      <c r="O275" s="118"/>
    </row>
    <row r="276" spans="11:15" x14ac:dyDescent="0.2">
      <c r="K276" s="118"/>
      <c r="L276" s="118"/>
      <c r="M276" s="118"/>
      <c r="N276" s="118"/>
      <c r="O276" s="118"/>
    </row>
    <row r="277" spans="11:15" x14ac:dyDescent="0.2">
      <c r="K277" s="118"/>
      <c r="L277" s="118"/>
      <c r="M277" s="118"/>
      <c r="N277" s="118"/>
      <c r="O277" s="118"/>
    </row>
    <row r="278" spans="11:15" x14ac:dyDescent="0.2">
      <c r="K278" s="118"/>
      <c r="L278" s="118"/>
      <c r="M278" s="118"/>
      <c r="N278" s="118"/>
      <c r="O278" s="118"/>
    </row>
    <row r="279" spans="11:15" x14ac:dyDescent="0.2">
      <c r="K279" s="118"/>
      <c r="L279" s="118"/>
      <c r="M279" s="118"/>
      <c r="N279" s="118"/>
      <c r="O279" s="118"/>
    </row>
    <row r="280" spans="11:15" x14ac:dyDescent="0.2">
      <c r="K280" s="118"/>
      <c r="L280" s="118"/>
      <c r="M280" s="118"/>
      <c r="N280" s="118"/>
      <c r="O280" s="118"/>
    </row>
    <row r="281" spans="11:15" x14ac:dyDescent="0.2">
      <c r="K281" s="118"/>
      <c r="L281" s="118"/>
      <c r="M281" s="118"/>
      <c r="N281" s="118"/>
      <c r="O281" s="118"/>
    </row>
    <row r="282" spans="11:15" x14ac:dyDescent="0.2">
      <c r="K282" s="118"/>
      <c r="L282" s="118"/>
      <c r="M282" s="118"/>
      <c r="N282" s="118"/>
      <c r="O282" s="118"/>
    </row>
    <row r="283" spans="11:15" x14ac:dyDescent="0.2">
      <c r="K283" s="118"/>
      <c r="L283" s="118"/>
      <c r="M283" s="118"/>
      <c r="N283" s="118"/>
      <c r="O283" s="118"/>
    </row>
    <row r="284" spans="11:15" x14ac:dyDescent="0.2">
      <c r="K284" s="118"/>
      <c r="L284" s="118"/>
      <c r="M284" s="118"/>
      <c r="N284" s="118"/>
      <c r="O284" s="118"/>
    </row>
    <row r="285" spans="11:15" x14ac:dyDescent="0.2">
      <c r="K285" s="118"/>
      <c r="L285" s="118"/>
      <c r="M285" s="118"/>
      <c r="N285" s="118"/>
      <c r="O285" s="118"/>
    </row>
    <row r="286" spans="11:15" x14ac:dyDescent="0.2">
      <c r="K286" s="118"/>
      <c r="L286" s="118"/>
      <c r="M286" s="118"/>
      <c r="N286" s="118"/>
      <c r="O286" s="118"/>
    </row>
    <row r="287" spans="11:15" x14ac:dyDescent="0.2">
      <c r="K287" s="118"/>
      <c r="L287" s="118"/>
      <c r="M287" s="118"/>
      <c r="N287" s="118"/>
      <c r="O287" s="118"/>
    </row>
    <row r="288" spans="11:15" x14ac:dyDescent="0.2">
      <c r="K288" s="118"/>
      <c r="L288" s="118"/>
      <c r="M288" s="118"/>
      <c r="N288" s="118"/>
      <c r="O288" s="118"/>
    </row>
    <row r="289" spans="11:15" x14ac:dyDescent="0.2">
      <c r="K289" s="118"/>
      <c r="L289" s="118"/>
      <c r="M289" s="118"/>
      <c r="N289" s="118"/>
      <c r="O289" s="118"/>
    </row>
    <row r="290" spans="11:15" x14ac:dyDescent="0.2">
      <c r="K290" s="118"/>
      <c r="L290" s="118"/>
      <c r="M290" s="118"/>
      <c r="N290" s="118"/>
      <c r="O290" s="118"/>
    </row>
    <row r="291" spans="11:15" x14ac:dyDescent="0.2">
      <c r="K291" s="118"/>
      <c r="L291" s="118"/>
      <c r="M291" s="118"/>
      <c r="N291" s="118"/>
      <c r="O291" s="118"/>
    </row>
    <row r="292" spans="11:15" x14ac:dyDescent="0.2">
      <c r="K292" s="118"/>
      <c r="L292" s="118"/>
      <c r="M292" s="118"/>
      <c r="N292" s="118"/>
      <c r="O292" s="118"/>
    </row>
    <row r="293" spans="11:15" x14ac:dyDescent="0.2">
      <c r="K293" s="118"/>
      <c r="L293" s="118"/>
      <c r="M293" s="118"/>
      <c r="N293" s="118"/>
      <c r="O293" s="118"/>
    </row>
    <row r="294" spans="11:15" x14ac:dyDescent="0.2">
      <c r="K294" s="118"/>
      <c r="L294" s="118"/>
      <c r="M294" s="118"/>
      <c r="N294" s="118"/>
      <c r="O294" s="118"/>
    </row>
    <row r="295" spans="11:15" x14ac:dyDescent="0.2">
      <c r="K295" s="118"/>
      <c r="L295" s="118"/>
      <c r="M295" s="118"/>
      <c r="N295" s="118"/>
      <c r="O295" s="118"/>
    </row>
    <row r="296" spans="11:15" x14ac:dyDescent="0.2">
      <c r="K296" s="118"/>
      <c r="L296" s="118"/>
      <c r="M296" s="118"/>
      <c r="N296" s="118"/>
      <c r="O296" s="118"/>
    </row>
    <row r="297" spans="11:15" x14ac:dyDescent="0.2">
      <c r="K297" s="118"/>
      <c r="L297" s="118"/>
      <c r="M297" s="118"/>
      <c r="N297" s="118"/>
      <c r="O297" s="118"/>
    </row>
    <row r="298" spans="11:15" x14ac:dyDescent="0.2">
      <c r="K298" s="118"/>
      <c r="L298" s="118"/>
      <c r="M298" s="118"/>
      <c r="N298" s="118"/>
      <c r="O298" s="118"/>
    </row>
    <row r="299" spans="11:15" x14ac:dyDescent="0.2">
      <c r="K299" s="118"/>
      <c r="L299" s="118"/>
      <c r="M299" s="118"/>
      <c r="N299" s="118"/>
      <c r="O299" s="118"/>
    </row>
    <row r="300" spans="11:15" x14ac:dyDescent="0.2">
      <c r="K300" s="118"/>
      <c r="L300" s="118"/>
      <c r="M300" s="118"/>
      <c r="N300" s="118"/>
      <c r="O300" s="118"/>
    </row>
    <row r="301" spans="11:15" x14ac:dyDescent="0.2">
      <c r="K301" s="118"/>
      <c r="L301" s="118"/>
      <c r="M301" s="118"/>
      <c r="N301" s="118"/>
      <c r="O301" s="118"/>
    </row>
    <row r="302" spans="11:15" x14ac:dyDescent="0.2">
      <c r="K302" s="118"/>
      <c r="L302" s="118"/>
      <c r="M302" s="118"/>
      <c r="N302" s="118"/>
      <c r="O302" s="118"/>
    </row>
    <row r="303" spans="11:15" x14ac:dyDescent="0.2">
      <c r="K303" s="118"/>
      <c r="L303" s="118"/>
      <c r="M303" s="118"/>
      <c r="N303" s="118"/>
      <c r="O303" s="118"/>
    </row>
    <row r="304" spans="11:15" x14ac:dyDescent="0.2">
      <c r="K304" s="118"/>
      <c r="L304" s="118"/>
      <c r="M304" s="118"/>
      <c r="N304" s="118"/>
      <c r="O304" s="118"/>
    </row>
    <row r="305" spans="11:15" x14ac:dyDescent="0.2">
      <c r="K305" s="118"/>
      <c r="L305" s="118"/>
      <c r="M305" s="118"/>
      <c r="N305" s="118"/>
      <c r="O305" s="118"/>
    </row>
    <row r="306" spans="11:15" x14ac:dyDescent="0.2">
      <c r="K306" s="118"/>
      <c r="L306" s="118"/>
      <c r="M306" s="118"/>
      <c r="N306" s="118"/>
      <c r="O306" s="118"/>
    </row>
    <row r="307" spans="11:15" x14ac:dyDescent="0.2">
      <c r="K307" s="118"/>
      <c r="L307" s="118"/>
      <c r="M307" s="118"/>
      <c r="N307" s="118"/>
      <c r="O307" s="118"/>
    </row>
    <row r="308" spans="11:15" x14ac:dyDescent="0.2">
      <c r="K308" s="118"/>
      <c r="L308" s="118"/>
      <c r="M308" s="118"/>
      <c r="N308" s="118"/>
      <c r="O308" s="118"/>
    </row>
    <row r="309" spans="11:15" x14ac:dyDescent="0.2">
      <c r="K309" s="118"/>
      <c r="L309" s="118"/>
      <c r="M309" s="118"/>
      <c r="N309" s="118"/>
      <c r="O309" s="118"/>
    </row>
    <row r="310" spans="11:15" x14ac:dyDescent="0.2">
      <c r="K310" s="118"/>
      <c r="L310" s="118"/>
      <c r="M310" s="118"/>
      <c r="N310" s="118"/>
      <c r="O310" s="118"/>
    </row>
    <row r="311" spans="11:15" x14ac:dyDescent="0.2">
      <c r="K311" s="118"/>
      <c r="L311" s="118"/>
      <c r="M311" s="118"/>
      <c r="N311" s="118"/>
      <c r="O311" s="118"/>
    </row>
    <row r="312" spans="11:15" x14ac:dyDescent="0.2">
      <c r="K312" s="118"/>
      <c r="L312" s="118"/>
      <c r="M312" s="118"/>
      <c r="N312" s="118"/>
      <c r="O312" s="118"/>
    </row>
    <row r="313" spans="11:15" x14ac:dyDescent="0.2">
      <c r="K313" s="118"/>
      <c r="L313" s="118"/>
      <c r="M313" s="118"/>
      <c r="N313" s="118"/>
      <c r="O313" s="118"/>
    </row>
    <row r="314" spans="11:15" x14ac:dyDescent="0.2">
      <c r="K314" s="118"/>
      <c r="L314" s="118"/>
      <c r="M314" s="118"/>
      <c r="N314" s="118"/>
      <c r="O314" s="118"/>
    </row>
    <row r="315" spans="11:15" x14ac:dyDescent="0.2">
      <c r="K315" s="118"/>
      <c r="L315" s="118"/>
      <c r="M315" s="118"/>
      <c r="N315" s="118"/>
      <c r="O315" s="118"/>
    </row>
    <row r="316" spans="11:15" x14ac:dyDescent="0.2">
      <c r="K316" s="118"/>
      <c r="L316" s="118"/>
      <c r="M316" s="118"/>
      <c r="N316" s="118"/>
      <c r="O316" s="118"/>
    </row>
    <row r="317" spans="11:15" x14ac:dyDescent="0.2">
      <c r="K317" s="118"/>
      <c r="L317" s="118"/>
      <c r="M317" s="118"/>
      <c r="N317" s="118"/>
      <c r="O317" s="118"/>
    </row>
    <row r="318" spans="11:15" x14ac:dyDescent="0.2">
      <c r="K318" s="118"/>
      <c r="L318" s="118"/>
      <c r="M318" s="118"/>
      <c r="N318" s="118"/>
      <c r="O318" s="118"/>
    </row>
    <row r="319" spans="11:15" x14ac:dyDescent="0.2">
      <c r="K319" s="118"/>
      <c r="L319" s="118"/>
      <c r="M319" s="118"/>
      <c r="N319" s="118"/>
      <c r="O319" s="118"/>
    </row>
    <row r="320" spans="11:15" x14ac:dyDescent="0.2">
      <c r="K320" s="118"/>
      <c r="L320" s="118"/>
      <c r="M320" s="118"/>
      <c r="N320" s="118"/>
      <c r="O320" s="118"/>
    </row>
    <row r="321" spans="11:15" x14ac:dyDescent="0.2">
      <c r="K321" s="118"/>
      <c r="L321" s="118"/>
      <c r="M321" s="118"/>
      <c r="N321" s="118"/>
      <c r="O321" s="118"/>
    </row>
    <row r="322" spans="11:15" x14ac:dyDescent="0.2">
      <c r="K322" s="118"/>
      <c r="L322" s="118"/>
      <c r="M322" s="118"/>
      <c r="N322" s="118"/>
      <c r="O322" s="118"/>
    </row>
    <row r="323" spans="11:15" x14ac:dyDescent="0.2">
      <c r="K323" s="118"/>
      <c r="L323" s="118"/>
      <c r="M323" s="118"/>
      <c r="N323" s="118"/>
      <c r="O323" s="118"/>
    </row>
    <row r="324" spans="11:15" x14ac:dyDescent="0.2">
      <c r="K324" s="118"/>
      <c r="L324" s="118"/>
      <c r="M324" s="118"/>
      <c r="N324" s="118"/>
      <c r="O324" s="118"/>
    </row>
    <row r="325" spans="11:15" x14ac:dyDescent="0.2">
      <c r="K325" s="118"/>
      <c r="L325" s="118"/>
      <c r="M325" s="118"/>
      <c r="N325" s="118"/>
      <c r="O325" s="118"/>
    </row>
    <row r="326" spans="11:15" x14ac:dyDescent="0.2">
      <c r="K326" s="118"/>
      <c r="L326" s="118"/>
      <c r="M326" s="118"/>
      <c r="N326" s="118"/>
      <c r="O326" s="118"/>
    </row>
    <row r="327" spans="11:15" x14ac:dyDescent="0.2">
      <c r="K327" s="118"/>
      <c r="L327" s="118"/>
      <c r="M327" s="118"/>
      <c r="N327" s="118"/>
      <c r="O327" s="118"/>
    </row>
    <row r="328" spans="11:15" x14ac:dyDescent="0.2">
      <c r="K328" s="118"/>
      <c r="L328" s="118"/>
      <c r="M328" s="118"/>
      <c r="N328" s="118"/>
      <c r="O328" s="118"/>
    </row>
    <row r="329" spans="11:15" x14ac:dyDescent="0.2">
      <c r="K329" s="118"/>
      <c r="L329" s="118"/>
      <c r="M329" s="118"/>
      <c r="N329" s="118"/>
      <c r="O329" s="118"/>
    </row>
    <row r="330" spans="11:15" x14ac:dyDescent="0.2">
      <c r="K330" s="118"/>
      <c r="L330" s="118"/>
      <c r="M330" s="118"/>
      <c r="N330" s="118"/>
      <c r="O330" s="118"/>
    </row>
    <row r="331" spans="11:15" x14ac:dyDescent="0.2">
      <c r="K331" s="118"/>
      <c r="L331" s="118"/>
      <c r="M331" s="118"/>
      <c r="N331" s="118"/>
      <c r="O331" s="118"/>
    </row>
    <row r="332" spans="11:15" x14ac:dyDescent="0.2">
      <c r="K332" s="118"/>
      <c r="L332" s="118"/>
      <c r="M332" s="118"/>
      <c r="N332" s="118"/>
      <c r="O332" s="118"/>
    </row>
    <row r="333" spans="11:15" x14ac:dyDescent="0.2">
      <c r="K333" s="118"/>
      <c r="L333" s="118"/>
      <c r="M333" s="118"/>
      <c r="N333" s="118"/>
      <c r="O333" s="118"/>
    </row>
    <row r="334" spans="11:15" x14ac:dyDescent="0.2">
      <c r="K334" s="118"/>
      <c r="L334" s="118"/>
      <c r="M334" s="118"/>
      <c r="N334" s="118"/>
      <c r="O334" s="118"/>
    </row>
    <row r="335" spans="11:15" x14ac:dyDescent="0.2">
      <c r="K335" s="118"/>
      <c r="L335" s="118"/>
      <c r="M335" s="118"/>
      <c r="N335" s="118"/>
      <c r="O335" s="118"/>
    </row>
    <row r="336" spans="11:15" x14ac:dyDescent="0.2">
      <c r="K336" s="118"/>
      <c r="L336" s="118"/>
      <c r="M336" s="118"/>
      <c r="N336" s="118"/>
      <c r="O336" s="118"/>
    </row>
    <row r="337" spans="11:15" x14ac:dyDescent="0.2">
      <c r="K337" s="118"/>
      <c r="L337" s="118"/>
      <c r="M337" s="118"/>
      <c r="N337" s="118"/>
      <c r="O337" s="118"/>
    </row>
    <row r="338" spans="11:15" x14ac:dyDescent="0.2">
      <c r="K338" s="118"/>
      <c r="L338" s="118"/>
      <c r="M338" s="118"/>
      <c r="N338" s="118"/>
      <c r="O338" s="118"/>
    </row>
    <row r="339" spans="11:15" x14ac:dyDescent="0.2">
      <c r="K339" s="118"/>
      <c r="L339" s="118"/>
      <c r="M339" s="118"/>
      <c r="N339" s="118"/>
      <c r="O339" s="118"/>
    </row>
    <row r="340" spans="11:15" x14ac:dyDescent="0.2">
      <c r="K340" s="118"/>
      <c r="L340" s="118"/>
      <c r="M340" s="118"/>
      <c r="N340" s="118"/>
      <c r="O340" s="118"/>
    </row>
    <row r="341" spans="11:15" x14ac:dyDescent="0.2">
      <c r="K341" s="118"/>
      <c r="L341" s="118"/>
      <c r="M341" s="118"/>
      <c r="N341" s="118"/>
      <c r="O341" s="118"/>
    </row>
    <row r="342" spans="11:15" x14ac:dyDescent="0.2">
      <c r="K342" s="118"/>
      <c r="L342" s="118"/>
      <c r="M342" s="118"/>
      <c r="N342" s="118"/>
      <c r="O342" s="118"/>
    </row>
    <row r="343" spans="11:15" x14ac:dyDescent="0.2">
      <c r="K343" s="118"/>
      <c r="L343" s="118"/>
      <c r="M343" s="118"/>
      <c r="N343" s="118"/>
      <c r="O343" s="118"/>
    </row>
    <row r="344" spans="11:15" x14ac:dyDescent="0.2">
      <c r="K344" s="118"/>
      <c r="L344" s="118"/>
      <c r="M344" s="118"/>
      <c r="N344" s="118"/>
      <c r="O344" s="118"/>
    </row>
    <row r="345" spans="11:15" x14ac:dyDescent="0.2">
      <c r="K345" s="118"/>
      <c r="L345" s="118"/>
      <c r="M345" s="118"/>
      <c r="N345" s="118"/>
      <c r="O345" s="118"/>
    </row>
    <row r="346" spans="11:15" x14ac:dyDescent="0.2">
      <c r="K346" s="118"/>
      <c r="L346" s="118"/>
      <c r="M346" s="118"/>
      <c r="N346" s="118"/>
      <c r="O346" s="118"/>
    </row>
    <row r="347" spans="11:15" x14ac:dyDescent="0.2">
      <c r="K347" s="118"/>
      <c r="L347" s="118"/>
      <c r="M347" s="118"/>
      <c r="N347" s="118"/>
      <c r="O347" s="118"/>
    </row>
    <row r="348" spans="11:15" x14ac:dyDescent="0.2">
      <c r="K348" s="118"/>
      <c r="L348" s="118"/>
      <c r="M348" s="118"/>
      <c r="N348" s="118"/>
      <c r="O348" s="118"/>
    </row>
    <row r="349" spans="11:15" x14ac:dyDescent="0.2">
      <c r="K349" s="118"/>
      <c r="L349" s="118"/>
      <c r="M349" s="118"/>
      <c r="N349" s="118"/>
      <c r="O349" s="118"/>
    </row>
    <row r="350" spans="11:15" x14ac:dyDescent="0.2">
      <c r="K350" s="118"/>
      <c r="L350" s="118"/>
      <c r="M350" s="118"/>
      <c r="N350" s="118"/>
      <c r="O350" s="118"/>
    </row>
    <row r="351" spans="11:15" x14ac:dyDescent="0.2">
      <c r="K351" s="118"/>
      <c r="L351" s="118"/>
      <c r="M351" s="118"/>
      <c r="N351" s="118"/>
      <c r="O351" s="118"/>
    </row>
    <row r="352" spans="11:15" x14ac:dyDescent="0.2">
      <c r="K352" s="118"/>
      <c r="L352" s="118"/>
      <c r="M352" s="118"/>
      <c r="N352" s="118"/>
      <c r="O352" s="118"/>
    </row>
    <row r="353" spans="11:15" x14ac:dyDescent="0.2">
      <c r="K353" s="118"/>
      <c r="L353" s="118"/>
      <c r="M353" s="118"/>
      <c r="N353" s="118"/>
      <c r="O353" s="118"/>
    </row>
    <row r="354" spans="11:15" x14ac:dyDescent="0.2">
      <c r="K354" s="118"/>
      <c r="L354" s="118"/>
      <c r="M354" s="118"/>
      <c r="N354" s="118"/>
      <c r="O354" s="118"/>
    </row>
    <row r="355" spans="11:15" x14ac:dyDescent="0.2">
      <c r="K355" s="118"/>
      <c r="L355" s="118"/>
      <c r="M355" s="118"/>
      <c r="N355" s="118"/>
      <c r="O355" s="118"/>
    </row>
    <row r="356" spans="11:15" x14ac:dyDescent="0.2">
      <c r="K356" s="118"/>
      <c r="L356" s="118"/>
      <c r="M356" s="118"/>
      <c r="N356" s="118"/>
      <c r="O356" s="118"/>
    </row>
    <row r="357" spans="11:15" x14ac:dyDescent="0.2">
      <c r="K357" s="118"/>
      <c r="L357" s="118"/>
      <c r="M357" s="118"/>
      <c r="N357" s="118"/>
      <c r="O357" s="118"/>
    </row>
    <row r="358" spans="11:15" x14ac:dyDescent="0.2">
      <c r="K358" s="118"/>
      <c r="L358" s="118"/>
      <c r="M358" s="118"/>
      <c r="N358" s="118"/>
      <c r="O358" s="118"/>
    </row>
    <row r="359" spans="11:15" x14ac:dyDescent="0.2">
      <c r="K359" s="118"/>
      <c r="L359" s="118"/>
      <c r="M359" s="118"/>
      <c r="N359" s="118"/>
      <c r="O359" s="118"/>
    </row>
    <row r="360" spans="11:15" x14ac:dyDescent="0.2">
      <c r="K360" s="118"/>
      <c r="L360" s="118"/>
      <c r="M360" s="118"/>
      <c r="N360" s="118"/>
      <c r="O360" s="118"/>
    </row>
    <row r="361" spans="11:15" x14ac:dyDescent="0.2">
      <c r="K361" s="118"/>
      <c r="L361" s="118"/>
      <c r="M361" s="118"/>
      <c r="N361" s="118"/>
      <c r="O361" s="118"/>
    </row>
    <row r="362" spans="11:15" x14ac:dyDescent="0.2">
      <c r="K362" s="118"/>
      <c r="L362" s="118"/>
      <c r="M362" s="118"/>
      <c r="N362" s="118"/>
      <c r="O362" s="118"/>
    </row>
    <row r="363" spans="11:15" x14ac:dyDescent="0.2">
      <c r="K363" s="118"/>
      <c r="L363" s="118"/>
      <c r="M363" s="118"/>
      <c r="N363" s="118"/>
      <c r="O363" s="118"/>
    </row>
    <row r="364" spans="11:15" x14ac:dyDescent="0.2">
      <c r="K364" s="118"/>
      <c r="L364" s="118"/>
      <c r="M364" s="118"/>
      <c r="N364" s="118"/>
      <c r="O364" s="118"/>
    </row>
    <row r="365" spans="11:15" x14ac:dyDescent="0.2">
      <c r="K365" s="118"/>
      <c r="L365" s="118"/>
      <c r="M365" s="118"/>
      <c r="N365" s="118"/>
      <c r="O365" s="118"/>
    </row>
    <row r="366" spans="11:15" x14ac:dyDescent="0.2">
      <c r="K366" s="118"/>
      <c r="L366" s="118"/>
      <c r="M366" s="118"/>
      <c r="N366" s="118"/>
      <c r="O366" s="118"/>
    </row>
    <row r="367" spans="11:15" x14ac:dyDescent="0.2">
      <c r="K367" s="118"/>
      <c r="L367" s="118"/>
      <c r="M367" s="118"/>
      <c r="N367" s="118"/>
      <c r="O367" s="118"/>
    </row>
    <row r="368" spans="11:15" x14ac:dyDescent="0.2">
      <c r="K368" s="118"/>
      <c r="L368" s="118"/>
      <c r="M368" s="118"/>
      <c r="N368" s="118"/>
      <c r="O368" s="118"/>
    </row>
    <row r="369" spans="11:15" x14ac:dyDescent="0.2">
      <c r="K369" s="118"/>
      <c r="L369" s="118"/>
      <c r="M369" s="118"/>
      <c r="N369" s="118"/>
      <c r="O369" s="118"/>
    </row>
    <row r="370" spans="11:15" x14ac:dyDescent="0.2">
      <c r="K370" s="118"/>
      <c r="L370" s="118"/>
      <c r="M370" s="118"/>
      <c r="N370" s="118"/>
      <c r="O370" s="118"/>
    </row>
    <row r="371" spans="11:15" x14ac:dyDescent="0.2">
      <c r="K371" s="118"/>
      <c r="L371" s="118"/>
      <c r="M371" s="118"/>
      <c r="N371" s="118"/>
      <c r="O371" s="118"/>
    </row>
    <row r="372" spans="11:15" x14ac:dyDescent="0.2">
      <c r="K372" s="118"/>
      <c r="L372" s="118"/>
      <c r="M372" s="118"/>
      <c r="N372" s="118"/>
      <c r="O372" s="118"/>
    </row>
    <row r="373" spans="11:15" x14ac:dyDescent="0.2">
      <c r="K373" s="118"/>
      <c r="L373" s="118"/>
      <c r="M373" s="118"/>
      <c r="N373" s="118"/>
      <c r="O373" s="118"/>
    </row>
    <row r="374" spans="11:15" x14ac:dyDescent="0.2">
      <c r="K374" s="118"/>
      <c r="L374" s="118"/>
      <c r="M374" s="118"/>
      <c r="N374" s="118"/>
      <c r="O374" s="118"/>
    </row>
    <row r="375" spans="11:15" x14ac:dyDescent="0.2">
      <c r="K375" s="118"/>
      <c r="L375" s="118"/>
      <c r="M375" s="118"/>
      <c r="N375" s="118"/>
      <c r="O375" s="118"/>
    </row>
    <row r="376" spans="11:15" x14ac:dyDescent="0.2">
      <c r="K376" s="118"/>
      <c r="L376" s="118"/>
      <c r="M376" s="118"/>
      <c r="N376" s="118"/>
      <c r="O376" s="118"/>
    </row>
    <row r="377" spans="11:15" x14ac:dyDescent="0.2">
      <c r="K377" s="118"/>
      <c r="L377" s="118"/>
      <c r="M377" s="118"/>
      <c r="N377" s="118"/>
      <c r="O377" s="118"/>
    </row>
    <row r="378" spans="11:15" x14ac:dyDescent="0.2">
      <c r="K378" s="118"/>
      <c r="L378" s="118"/>
      <c r="M378" s="118"/>
      <c r="N378" s="118"/>
      <c r="O378" s="118"/>
    </row>
    <row r="379" spans="11:15" x14ac:dyDescent="0.2">
      <c r="K379" s="118"/>
      <c r="L379" s="118"/>
      <c r="M379" s="118"/>
      <c r="N379" s="118"/>
      <c r="O379" s="118"/>
    </row>
    <row r="380" spans="11:15" x14ac:dyDescent="0.2">
      <c r="K380" s="118"/>
      <c r="L380" s="118"/>
      <c r="M380" s="118"/>
      <c r="N380" s="118"/>
      <c r="O380" s="118"/>
    </row>
    <row r="381" spans="11:15" x14ac:dyDescent="0.2">
      <c r="K381" s="118"/>
      <c r="L381" s="118"/>
      <c r="M381" s="118"/>
      <c r="N381" s="118"/>
      <c r="O381" s="118"/>
    </row>
    <row r="382" spans="11:15" x14ac:dyDescent="0.2">
      <c r="K382" s="118"/>
      <c r="L382" s="118"/>
      <c r="M382" s="118"/>
      <c r="N382" s="118"/>
      <c r="O382" s="118"/>
    </row>
    <row r="383" spans="11:15" x14ac:dyDescent="0.2">
      <c r="K383" s="118"/>
      <c r="L383" s="118"/>
      <c r="M383" s="118"/>
      <c r="N383" s="118"/>
      <c r="O383" s="118"/>
    </row>
    <row r="384" spans="11:15" x14ac:dyDescent="0.2">
      <c r="K384" s="118"/>
      <c r="L384" s="118"/>
      <c r="M384" s="118"/>
      <c r="N384" s="118"/>
      <c r="O384" s="118"/>
    </row>
    <row r="385" spans="11:15" x14ac:dyDescent="0.2">
      <c r="K385" s="118"/>
      <c r="L385" s="118"/>
      <c r="M385" s="118"/>
      <c r="N385" s="118"/>
      <c r="O385" s="118"/>
    </row>
    <row r="386" spans="11:15" x14ac:dyDescent="0.2">
      <c r="K386" s="118"/>
      <c r="L386" s="118"/>
      <c r="M386" s="118"/>
      <c r="N386" s="118"/>
      <c r="O386" s="118"/>
    </row>
    <row r="387" spans="11:15" x14ac:dyDescent="0.2">
      <c r="K387" s="118"/>
      <c r="L387" s="118"/>
      <c r="M387" s="118"/>
      <c r="N387" s="118"/>
      <c r="O387" s="118"/>
    </row>
    <row r="388" spans="11:15" x14ac:dyDescent="0.2">
      <c r="K388" s="118"/>
      <c r="L388" s="118"/>
      <c r="M388" s="118"/>
      <c r="N388" s="118"/>
      <c r="O388" s="118"/>
    </row>
    <row r="389" spans="11:15" x14ac:dyDescent="0.2">
      <c r="K389" s="118"/>
      <c r="L389" s="118"/>
      <c r="M389" s="118"/>
      <c r="N389" s="118"/>
      <c r="O389" s="118"/>
    </row>
    <row r="390" spans="11:15" x14ac:dyDescent="0.2">
      <c r="K390" s="118"/>
      <c r="L390" s="118"/>
      <c r="M390" s="118"/>
      <c r="N390" s="118"/>
      <c r="O390" s="118"/>
    </row>
    <row r="391" spans="11:15" x14ac:dyDescent="0.2">
      <c r="K391" s="118"/>
      <c r="L391" s="118"/>
      <c r="M391" s="118"/>
      <c r="N391" s="118"/>
      <c r="O391" s="118"/>
    </row>
    <row r="392" spans="11:15" x14ac:dyDescent="0.2">
      <c r="K392" s="118"/>
      <c r="L392" s="118"/>
      <c r="M392" s="118"/>
      <c r="N392" s="118"/>
      <c r="O392" s="118"/>
    </row>
    <row r="393" spans="11:15" x14ac:dyDescent="0.2">
      <c r="K393" s="118"/>
      <c r="L393" s="118"/>
      <c r="M393" s="118"/>
      <c r="N393" s="118"/>
      <c r="O393" s="118"/>
    </row>
    <row r="394" spans="11:15" x14ac:dyDescent="0.2">
      <c r="K394" s="118"/>
      <c r="L394" s="118"/>
      <c r="M394" s="118"/>
      <c r="N394" s="118"/>
      <c r="O394" s="118"/>
    </row>
    <row r="395" spans="11:15" x14ac:dyDescent="0.2">
      <c r="K395" s="118"/>
      <c r="L395" s="118"/>
      <c r="M395" s="118"/>
      <c r="N395" s="118"/>
      <c r="O395" s="118"/>
    </row>
    <row r="396" spans="11:15" x14ac:dyDescent="0.2">
      <c r="K396" s="118"/>
      <c r="L396" s="118"/>
      <c r="M396" s="118"/>
      <c r="N396" s="118"/>
      <c r="O396" s="118"/>
    </row>
    <row r="397" spans="11:15" x14ac:dyDescent="0.2">
      <c r="K397" s="118"/>
      <c r="L397" s="118"/>
      <c r="M397" s="118"/>
      <c r="N397" s="118"/>
      <c r="O397" s="118"/>
    </row>
    <row r="398" spans="11:15" x14ac:dyDescent="0.2">
      <c r="K398" s="118"/>
      <c r="L398" s="118"/>
      <c r="M398" s="118"/>
      <c r="N398" s="118"/>
      <c r="O398" s="118"/>
    </row>
    <row r="399" spans="11:15" x14ac:dyDescent="0.2">
      <c r="K399" s="118"/>
      <c r="L399" s="118"/>
      <c r="M399" s="118"/>
      <c r="N399" s="118"/>
      <c r="O399" s="118"/>
    </row>
    <row r="400" spans="11:15" x14ac:dyDescent="0.2">
      <c r="K400" s="118"/>
      <c r="L400" s="118"/>
      <c r="M400" s="118"/>
      <c r="N400" s="118"/>
      <c r="O400" s="118"/>
    </row>
    <row r="401" spans="11:15" x14ac:dyDescent="0.2">
      <c r="K401" s="118"/>
      <c r="L401" s="118"/>
      <c r="M401" s="118"/>
      <c r="N401" s="118"/>
      <c r="O401" s="118"/>
    </row>
    <row r="402" spans="11:15" x14ac:dyDescent="0.2">
      <c r="K402" s="118"/>
      <c r="L402" s="118"/>
      <c r="M402" s="118"/>
      <c r="N402" s="118"/>
      <c r="O402" s="118"/>
    </row>
    <row r="403" spans="11:15" x14ac:dyDescent="0.2">
      <c r="K403" s="118"/>
      <c r="L403" s="118"/>
      <c r="M403" s="118"/>
      <c r="N403" s="118"/>
      <c r="O403" s="118"/>
    </row>
    <row r="404" spans="11:15" x14ac:dyDescent="0.2">
      <c r="K404" s="118"/>
      <c r="L404" s="118"/>
      <c r="M404" s="118"/>
      <c r="N404" s="118"/>
      <c r="O404" s="118"/>
    </row>
    <row r="405" spans="11:15" x14ac:dyDescent="0.2">
      <c r="K405" s="118"/>
      <c r="L405" s="118"/>
      <c r="M405" s="118"/>
      <c r="N405" s="118"/>
      <c r="O405" s="118"/>
    </row>
    <row r="406" spans="11:15" x14ac:dyDescent="0.2">
      <c r="K406" s="118"/>
      <c r="L406" s="118"/>
      <c r="M406" s="118"/>
      <c r="N406" s="118"/>
      <c r="O406" s="118"/>
    </row>
    <row r="407" spans="11:15" x14ac:dyDescent="0.2">
      <c r="K407" s="118"/>
      <c r="L407" s="118"/>
      <c r="M407" s="118"/>
      <c r="N407" s="118"/>
      <c r="O407" s="118"/>
    </row>
    <row r="408" spans="11:15" x14ac:dyDescent="0.2">
      <c r="K408" s="118"/>
      <c r="L408" s="118"/>
      <c r="M408" s="118"/>
      <c r="N408" s="118"/>
      <c r="O408" s="118"/>
    </row>
    <row r="409" spans="11:15" x14ac:dyDescent="0.2">
      <c r="K409" s="118"/>
      <c r="L409" s="118"/>
      <c r="M409" s="118"/>
      <c r="N409" s="118"/>
      <c r="O409" s="118"/>
    </row>
    <row r="410" spans="11:15" x14ac:dyDescent="0.2">
      <c r="K410" s="118"/>
      <c r="L410" s="118"/>
      <c r="M410" s="118"/>
      <c r="N410" s="118"/>
      <c r="O410" s="118"/>
    </row>
    <row r="411" spans="11:15" x14ac:dyDescent="0.2">
      <c r="K411" s="118"/>
      <c r="L411" s="118"/>
      <c r="M411" s="118"/>
      <c r="N411" s="118"/>
      <c r="O411" s="118"/>
    </row>
    <row r="412" spans="11:15" x14ac:dyDescent="0.2">
      <c r="K412" s="118"/>
      <c r="L412" s="118"/>
      <c r="M412" s="118"/>
      <c r="N412" s="118"/>
      <c r="O412" s="118"/>
    </row>
    <row r="413" spans="11:15" x14ac:dyDescent="0.2">
      <c r="K413" s="118"/>
      <c r="L413" s="118"/>
      <c r="M413" s="118"/>
      <c r="N413" s="118"/>
      <c r="O413" s="118"/>
    </row>
    <row r="414" spans="11:15" x14ac:dyDescent="0.2">
      <c r="K414" s="118"/>
      <c r="L414" s="118"/>
      <c r="M414" s="118"/>
      <c r="N414" s="118"/>
      <c r="O414" s="118"/>
    </row>
    <row r="415" spans="11:15" x14ac:dyDescent="0.2">
      <c r="K415" s="118"/>
      <c r="L415" s="118"/>
      <c r="M415" s="118"/>
      <c r="N415" s="118"/>
      <c r="O415" s="118"/>
    </row>
    <row r="416" spans="11:15" x14ac:dyDescent="0.2">
      <c r="K416" s="118"/>
      <c r="L416" s="118"/>
      <c r="M416" s="118"/>
      <c r="N416" s="118"/>
      <c r="O416" s="118"/>
    </row>
    <row r="417" spans="11:15" x14ac:dyDescent="0.2">
      <c r="K417" s="118"/>
      <c r="L417" s="118"/>
      <c r="M417" s="118"/>
      <c r="N417" s="118"/>
      <c r="O417" s="118"/>
    </row>
    <row r="418" spans="11:15" x14ac:dyDescent="0.2">
      <c r="K418" s="118"/>
      <c r="L418" s="118"/>
      <c r="M418" s="118"/>
      <c r="N418" s="118"/>
      <c r="O418" s="118"/>
    </row>
    <row r="419" spans="11:15" x14ac:dyDescent="0.2">
      <c r="K419" s="118"/>
      <c r="L419" s="118"/>
      <c r="M419" s="118"/>
      <c r="N419" s="118"/>
      <c r="O419" s="118"/>
    </row>
    <row r="420" spans="11:15" x14ac:dyDescent="0.2">
      <c r="K420" s="118"/>
      <c r="L420" s="118"/>
      <c r="M420" s="118"/>
      <c r="N420" s="118"/>
      <c r="O420" s="118"/>
    </row>
    <row r="421" spans="11:15" x14ac:dyDescent="0.2">
      <c r="K421" s="118"/>
      <c r="L421" s="118"/>
      <c r="M421" s="118"/>
      <c r="N421" s="118"/>
      <c r="O421" s="118"/>
    </row>
    <row r="422" spans="11:15" x14ac:dyDescent="0.2">
      <c r="K422" s="118"/>
      <c r="L422" s="118"/>
      <c r="M422" s="118"/>
      <c r="N422" s="118"/>
      <c r="O422" s="118"/>
    </row>
    <row r="423" spans="11:15" x14ac:dyDescent="0.2">
      <c r="K423" s="118"/>
      <c r="L423" s="118"/>
      <c r="M423" s="118"/>
      <c r="N423" s="118"/>
      <c r="O423" s="118"/>
    </row>
    <row r="424" spans="11:15" x14ac:dyDescent="0.2">
      <c r="K424" s="118"/>
      <c r="L424" s="118"/>
      <c r="M424" s="118"/>
      <c r="N424" s="118"/>
      <c r="O424" s="118"/>
    </row>
    <row r="425" spans="11:15" x14ac:dyDescent="0.2">
      <c r="K425" s="118"/>
      <c r="L425" s="118"/>
      <c r="M425" s="118"/>
      <c r="N425" s="118"/>
      <c r="O425" s="118"/>
    </row>
    <row r="426" spans="11:15" x14ac:dyDescent="0.2">
      <c r="K426" s="118"/>
      <c r="L426" s="118"/>
      <c r="M426" s="118"/>
      <c r="N426" s="118"/>
      <c r="O426" s="118"/>
    </row>
    <row r="427" spans="11:15" x14ac:dyDescent="0.2">
      <c r="K427" s="118"/>
      <c r="L427" s="118"/>
      <c r="M427" s="118"/>
      <c r="N427" s="118"/>
      <c r="O427" s="118"/>
    </row>
    <row r="428" spans="11:15" x14ac:dyDescent="0.2">
      <c r="K428" s="118"/>
      <c r="L428" s="118"/>
      <c r="M428" s="118"/>
      <c r="N428" s="118"/>
      <c r="O428" s="118"/>
    </row>
    <row r="429" spans="11:15" x14ac:dyDescent="0.2">
      <c r="K429" s="118"/>
      <c r="L429" s="118"/>
      <c r="M429" s="118"/>
      <c r="N429" s="118"/>
      <c r="O429" s="118"/>
    </row>
    <row r="430" spans="11:15" x14ac:dyDescent="0.2">
      <c r="K430" s="118"/>
      <c r="L430" s="118"/>
      <c r="M430" s="118"/>
      <c r="N430" s="118"/>
      <c r="O430" s="118"/>
    </row>
    <row r="431" spans="11:15" x14ac:dyDescent="0.2">
      <c r="K431" s="118"/>
      <c r="L431" s="118"/>
      <c r="M431" s="118"/>
      <c r="N431" s="118"/>
      <c r="O431" s="118"/>
    </row>
    <row r="432" spans="11:15" x14ac:dyDescent="0.2">
      <c r="K432" s="118"/>
      <c r="L432" s="118"/>
      <c r="M432" s="118"/>
      <c r="N432" s="118"/>
      <c r="O432" s="118"/>
    </row>
    <row r="433" spans="11:15" x14ac:dyDescent="0.2">
      <c r="K433" s="118"/>
      <c r="L433" s="118"/>
      <c r="M433" s="118"/>
      <c r="N433" s="118"/>
      <c r="O433" s="118"/>
    </row>
    <row r="434" spans="11:15" x14ac:dyDescent="0.2">
      <c r="K434" s="118"/>
      <c r="L434" s="118"/>
      <c r="M434" s="118"/>
      <c r="N434" s="118"/>
      <c r="O434" s="118"/>
    </row>
    <row r="435" spans="11:15" x14ac:dyDescent="0.2">
      <c r="K435" s="118"/>
      <c r="L435" s="118"/>
      <c r="M435" s="118"/>
      <c r="N435" s="118"/>
      <c r="O435" s="118"/>
    </row>
    <row r="436" spans="11:15" x14ac:dyDescent="0.2">
      <c r="K436" s="118"/>
      <c r="L436" s="118"/>
      <c r="M436" s="118"/>
      <c r="N436" s="118"/>
      <c r="O436" s="118"/>
    </row>
    <row r="437" spans="11:15" x14ac:dyDescent="0.2">
      <c r="K437" s="118"/>
      <c r="L437" s="118"/>
      <c r="M437" s="118"/>
      <c r="N437" s="118"/>
      <c r="O437" s="118"/>
    </row>
    <row r="438" spans="11:15" x14ac:dyDescent="0.2">
      <c r="K438" s="118"/>
      <c r="L438" s="118"/>
      <c r="M438" s="118"/>
      <c r="N438" s="118"/>
      <c r="O438" s="118"/>
    </row>
    <row r="439" spans="11:15" x14ac:dyDescent="0.2">
      <c r="K439" s="118"/>
      <c r="L439" s="118"/>
      <c r="M439" s="118"/>
      <c r="N439" s="118"/>
      <c r="O439" s="118"/>
    </row>
    <row r="440" spans="11:15" x14ac:dyDescent="0.2">
      <c r="K440" s="118"/>
      <c r="L440" s="118"/>
      <c r="M440" s="118"/>
      <c r="N440" s="118"/>
      <c r="O440" s="118"/>
    </row>
    <row r="441" spans="11:15" x14ac:dyDescent="0.2">
      <c r="K441" s="118"/>
      <c r="L441" s="118"/>
      <c r="M441" s="118"/>
      <c r="N441" s="118"/>
      <c r="O441" s="118"/>
    </row>
    <row r="442" spans="11:15" x14ac:dyDescent="0.2">
      <c r="K442" s="118"/>
      <c r="L442" s="118"/>
      <c r="M442" s="118"/>
      <c r="N442" s="118"/>
      <c r="O442" s="118"/>
    </row>
    <row r="443" spans="11:15" x14ac:dyDescent="0.2">
      <c r="K443" s="118"/>
      <c r="L443" s="118"/>
      <c r="M443" s="118"/>
      <c r="N443" s="118"/>
      <c r="O443" s="118"/>
    </row>
    <row r="444" spans="11:15" x14ac:dyDescent="0.2">
      <c r="K444" s="118"/>
      <c r="L444" s="118"/>
      <c r="M444" s="118"/>
      <c r="N444" s="118"/>
      <c r="O444" s="118"/>
    </row>
    <row r="445" spans="11:15" x14ac:dyDescent="0.2">
      <c r="K445" s="118"/>
      <c r="L445" s="118"/>
      <c r="M445" s="118"/>
      <c r="N445" s="118"/>
      <c r="O445" s="118"/>
    </row>
    <row r="446" spans="11:15" x14ac:dyDescent="0.2">
      <c r="K446" s="118"/>
      <c r="L446" s="118"/>
      <c r="M446" s="118"/>
      <c r="N446" s="118"/>
      <c r="O446" s="118"/>
    </row>
    <row r="447" spans="11:15" x14ac:dyDescent="0.2">
      <c r="K447" s="118"/>
      <c r="L447" s="118"/>
      <c r="M447" s="118"/>
      <c r="N447" s="118"/>
      <c r="O447" s="118"/>
    </row>
    <row r="448" spans="11:15" x14ac:dyDescent="0.2">
      <c r="K448" s="118"/>
      <c r="L448" s="118"/>
      <c r="M448" s="118"/>
      <c r="N448" s="118"/>
      <c r="O448" s="118"/>
    </row>
    <row r="449" spans="11:15" x14ac:dyDescent="0.2">
      <c r="K449" s="118"/>
      <c r="L449" s="118"/>
      <c r="M449" s="118"/>
      <c r="N449" s="118"/>
      <c r="O449" s="118"/>
    </row>
    <row r="450" spans="11:15" x14ac:dyDescent="0.2">
      <c r="K450" s="118"/>
      <c r="L450" s="118"/>
      <c r="M450" s="118"/>
      <c r="N450" s="118"/>
      <c r="O450" s="118"/>
    </row>
    <row r="451" spans="11:15" x14ac:dyDescent="0.2">
      <c r="K451" s="118"/>
      <c r="L451" s="118"/>
      <c r="M451" s="118"/>
      <c r="N451" s="118"/>
      <c r="O451" s="118"/>
    </row>
    <row r="452" spans="11:15" x14ac:dyDescent="0.2">
      <c r="K452" s="118"/>
      <c r="L452" s="118"/>
      <c r="M452" s="118"/>
      <c r="N452" s="118"/>
      <c r="O452" s="118"/>
    </row>
    <row r="453" spans="11:15" x14ac:dyDescent="0.2">
      <c r="K453" s="118"/>
      <c r="L453" s="118"/>
      <c r="M453" s="118"/>
      <c r="N453" s="118"/>
      <c r="O453" s="118"/>
    </row>
    <row r="454" spans="11:15" x14ac:dyDescent="0.2">
      <c r="K454" s="118"/>
      <c r="L454" s="118"/>
      <c r="M454" s="118"/>
      <c r="N454" s="118"/>
      <c r="O454" s="118"/>
    </row>
    <row r="455" spans="11:15" x14ac:dyDescent="0.2">
      <c r="K455" s="118"/>
      <c r="L455" s="118"/>
      <c r="M455" s="118"/>
      <c r="N455" s="118"/>
      <c r="O455" s="118"/>
    </row>
    <row r="456" spans="11:15" x14ac:dyDescent="0.2">
      <c r="K456" s="118"/>
      <c r="L456" s="118"/>
      <c r="M456" s="118"/>
      <c r="N456" s="118"/>
      <c r="O456" s="118"/>
    </row>
    <row r="457" spans="11:15" x14ac:dyDescent="0.2">
      <c r="K457" s="118"/>
      <c r="L457" s="118"/>
      <c r="M457" s="118"/>
      <c r="N457" s="118"/>
      <c r="O457" s="118"/>
    </row>
    <row r="458" spans="11:15" x14ac:dyDescent="0.2">
      <c r="K458" s="118"/>
      <c r="L458" s="118"/>
      <c r="M458" s="118"/>
      <c r="N458" s="118"/>
      <c r="O458" s="118"/>
    </row>
    <row r="459" spans="11:15" x14ac:dyDescent="0.2">
      <c r="K459" s="118"/>
      <c r="L459" s="118"/>
      <c r="M459" s="118"/>
      <c r="N459" s="118"/>
      <c r="O459" s="118"/>
    </row>
    <row r="460" spans="11:15" x14ac:dyDescent="0.2">
      <c r="K460" s="118"/>
      <c r="L460" s="118"/>
      <c r="M460" s="118"/>
      <c r="N460" s="118"/>
      <c r="O460" s="118"/>
    </row>
    <row r="461" spans="11:15" x14ac:dyDescent="0.2">
      <c r="K461" s="118"/>
      <c r="L461" s="118"/>
      <c r="M461" s="118"/>
      <c r="N461" s="118"/>
      <c r="O461" s="118"/>
    </row>
    <row r="462" spans="11:15" x14ac:dyDescent="0.2">
      <c r="K462" s="118"/>
      <c r="L462" s="118"/>
      <c r="M462" s="118"/>
      <c r="N462" s="118"/>
      <c r="O462" s="118"/>
    </row>
    <row r="463" spans="11:15" x14ac:dyDescent="0.2">
      <c r="K463" s="118"/>
      <c r="L463" s="118"/>
      <c r="M463" s="118"/>
      <c r="N463" s="118"/>
      <c r="O463" s="118"/>
    </row>
    <row r="464" spans="11:15" x14ac:dyDescent="0.2">
      <c r="K464" s="118"/>
      <c r="L464" s="118"/>
      <c r="M464" s="118"/>
      <c r="N464" s="118"/>
      <c r="O464" s="118"/>
    </row>
    <row r="465" spans="11:15" x14ac:dyDescent="0.2">
      <c r="K465" s="118"/>
      <c r="L465" s="118"/>
      <c r="M465" s="118"/>
      <c r="N465" s="118"/>
      <c r="O465" s="118"/>
    </row>
    <row r="466" spans="11:15" x14ac:dyDescent="0.2">
      <c r="K466" s="118"/>
      <c r="L466" s="118"/>
      <c r="M466" s="118"/>
      <c r="N466" s="118"/>
      <c r="O466" s="118"/>
    </row>
    <row r="467" spans="11:15" x14ac:dyDescent="0.2">
      <c r="K467" s="118"/>
      <c r="L467" s="118"/>
      <c r="M467" s="118"/>
      <c r="N467" s="118"/>
      <c r="O467" s="118"/>
    </row>
    <row r="468" spans="11:15" x14ac:dyDescent="0.2">
      <c r="K468" s="118"/>
      <c r="L468" s="118"/>
      <c r="M468" s="118"/>
      <c r="N468" s="118"/>
      <c r="O468" s="118"/>
    </row>
    <row r="469" spans="11:15" x14ac:dyDescent="0.2">
      <c r="K469" s="118"/>
      <c r="L469" s="118"/>
      <c r="M469" s="118"/>
      <c r="N469" s="118"/>
      <c r="O469" s="118"/>
    </row>
    <row r="470" spans="11:15" x14ac:dyDescent="0.2">
      <c r="K470" s="118"/>
      <c r="L470" s="118"/>
      <c r="M470" s="118"/>
      <c r="N470" s="118"/>
      <c r="O470" s="118"/>
    </row>
    <row r="471" spans="11:15" x14ac:dyDescent="0.2">
      <c r="K471" s="118"/>
      <c r="L471" s="118"/>
      <c r="M471" s="118"/>
      <c r="N471" s="118"/>
      <c r="O471" s="118"/>
    </row>
    <row r="472" spans="11:15" x14ac:dyDescent="0.2">
      <c r="K472" s="118"/>
      <c r="L472" s="118"/>
      <c r="M472" s="118"/>
      <c r="N472" s="118"/>
      <c r="O472" s="118"/>
    </row>
    <row r="473" spans="11:15" x14ac:dyDescent="0.2">
      <c r="K473" s="118"/>
      <c r="L473" s="118"/>
      <c r="M473" s="118"/>
      <c r="N473" s="118"/>
      <c r="O473" s="118"/>
    </row>
    <row r="474" spans="11:15" x14ac:dyDescent="0.2">
      <c r="K474" s="118"/>
      <c r="L474" s="118"/>
      <c r="M474" s="118"/>
      <c r="N474" s="118"/>
      <c r="O474" s="118"/>
    </row>
    <row r="475" spans="11:15" x14ac:dyDescent="0.2">
      <c r="K475" s="118"/>
      <c r="L475" s="118"/>
      <c r="M475" s="118"/>
      <c r="N475" s="118"/>
      <c r="O475" s="118"/>
    </row>
    <row r="476" spans="11:15" x14ac:dyDescent="0.2">
      <c r="K476" s="118"/>
      <c r="L476" s="118"/>
      <c r="M476" s="118"/>
      <c r="N476" s="118"/>
      <c r="O476" s="118"/>
    </row>
    <row r="477" spans="11:15" x14ac:dyDescent="0.2">
      <c r="K477" s="118"/>
      <c r="L477" s="118"/>
      <c r="M477" s="118"/>
      <c r="N477" s="118"/>
      <c r="O477" s="118"/>
    </row>
    <row r="478" spans="11:15" x14ac:dyDescent="0.2">
      <c r="K478" s="118"/>
      <c r="L478" s="118"/>
      <c r="M478" s="118"/>
      <c r="N478" s="118"/>
      <c r="O478" s="118"/>
    </row>
    <row r="479" spans="11:15" x14ac:dyDescent="0.2">
      <c r="K479" s="118"/>
      <c r="L479" s="118"/>
      <c r="M479" s="118"/>
      <c r="N479" s="118"/>
      <c r="O479" s="118"/>
    </row>
    <row r="480" spans="11:15" x14ac:dyDescent="0.2">
      <c r="K480" s="118"/>
      <c r="L480" s="118"/>
      <c r="M480" s="118"/>
      <c r="N480" s="118"/>
      <c r="O480" s="118"/>
    </row>
    <row r="481" spans="11:15" x14ac:dyDescent="0.2">
      <c r="K481" s="118"/>
      <c r="L481" s="118"/>
      <c r="M481" s="118"/>
      <c r="N481" s="118"/>
      <c r="O481" s="118"/>
    </row>
    <row r="482" spans="11:15" x14ac:dyDescent="0.2">
      <c r="K482" s="118"/>
      <c r="L482" s="118"/>
      <c r="M482" s="118"/>
      <c r="N482" s="118"/>
      <c r="O482" s="118"/>
    </row>
    <row r="483" spans="11:15" x14ac:dyDescent="0.2">
      <c r="K483" s="118"/>
      <c r="L483" s="118"/>
      <c r="M483" s="118"/>
      <c r="N483" s="118"/>
      <c r="O483" s="118"/>
    </row>
    <row r="484" spans="11:15" x14ac:dyDescent="0.2">
      <c r="K484" s="118"/>
      <c r="L484" s="118"/>
      <c r="M484" s="118"/>
      <c r="N484" s="118"/>
      <c r="O484" s="118"/>
    </row>
    <row r="485" spans="11:15" x14ac:dyDescent="0.2">
      <c r="K485" s="118"/>
      <c r="L485" s="118"/>
      <c r="M485" s="118"/>
      <c r="N485" s="118"/>
      <c r="O485" s="118"/>
    </row>
    <row r="486" spans="11:15" x14ac:dyDescent="0.2">
      <c r="K486" s="118"/>
      <c r="L486" s="118"/>
      <c r="M486" s="118"/>
      <c r="N486" s="118"/>
      <c r="O486" s="118"/>
    </row>
    <row r="487" spans="11:15" x14ac:dyDescent="0.2">
      <c r="K487" s="118"/>
      <c r="L487" s="118"/>
      <c r="M487" s="118"/>
      <c r="N487" s="118"/>
      <c r="O487" s="118"/>
    </row>
    <row r="488" spans="11:15" x14ac:dyDescent="0.2">
      <c r="K488" s="118"/>
      <c r="L488" s="118"/>
      <c r="M488" s="118"/>
      <c r="N488" s="118"/>
      <c r="O488" s="118"/>
    </row>
    <row r="489" spans="11:15" x14ac:dyDescent="0.2">
      <c r="K489" s="118"/>
      <c r="L489" s="118"/>
      <c r="M489" s="118"/>
      <c r="N489" s="118"/>
      <c r="O489" s="118"/>
    </row>
    <row r="490" spans="11:15" x14ac:dyDescent="0.2">
      <c r="K490" s="118"/>
      <c r="L490" s="118"/>
      <c r="M490" s="118"/>
      <c r="N490" s="118"/>
      <c r="O490" s="118"/>
    </row>
    <row r="491" spans="11:15" x14ac:dyDescent="0.2">
      <c r="K491" s="118"/>
      <c r="L491" s="118"/>
      <c r="M491" s="118"/>
      <c r="N491" s="118"/>
      <c r="O491" s="118"/>
    </row>
    <row r="492" spans="11:15" x14ac:dyDescent="0.2">
      <c r="K492" s="118"/>
      <c r="L492" s="118"/>
      <c r="M492" s="118"/>
      <c r="N492" s="118"/>
      <c r="O492" s="118"/>
    </row>
    <row r="493" spans="11:15" x14ac:dyDescent="0.2">
      <c r="K493" s="118"/>
      <c r="L493" s="118"/>
      <c r="M493" s="118"/>
      <c r="N493" s="118"/>
      <c r="O493" s="118"/>
    </row>
  </sheetData>
  <phoneticPr fontId="0" type="noConversion"/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  <pageSetUpPr fitToPage="1"/>
  </sheetPr>
  <dimension ref="A2:R314"/>
  <sheetViews>
    <sheetView showGridLines="0" zoomScaleNormal="100" workbookViewId="0"/>
  </sheetViews>
  <sheetFormatPr defaultRowHeight="12.75" x14ac:dyDescent="0.2"/>
  <cols>
    <col min="1" max="1" width="3.85546875" style="90" customWidth="1"/>
    <col min="2" max="2" width="19" style="90" customWidth="1"/>
    <col min="3" max="3" width="11" style="90" customWidth="1"/>
    <col min="4" max="8" width="10" style="90" customWidth="1"/>
    <col min="9" max="9" width="10.5703125" style="90" customWidth="1"/>
    <col min="10" max="10" width="3.5703125" style="90" customWidth="1"/>
    <col min="11" max="11" width="10.42578125" style="112" customWidth="1"/>
    <col min="12" max="18" width="10.42578125" style="139" customWidth="1"/>
    <col min="19" max="138" width="6.5703125" style="90" customWidth="1"/>
    <col min="139" max="16384" width="9.140625" style="90"/>
  </cols>
  <sheetData>
    <row r="2" spans="1:18" ht="33.75" x14ac:dyDescent="0.5">
      <c r="B2" s="91" t="s">
        <v>56</v>
      </c>
    </row>
    <row r="3" spans="1:18" ht="16.5" x14ac:dyDescent="0.25">
      <c r="B3" s="92" t="s">
        <v>50</v>
      </c>
      <c r="C3" s="93"/>
      <c r="D3" s="94"/>
    </row>
    <row r="4" spans="1:18" ht="20.25" x14ac:dyDescent="0.25">
      <c r="B4" s="95"/>
      <c r="C4" s="96"/>
      <c r="D4" s="97"/>
    </row>
    <row r="5" spans="1:18" ht="16.5" x14ac:dyDescent="0.2">
      <c r="B5" s="98" t="s">
        <v>80</v>
      </c>
      <c r="K5" s="98" t="s">
        <v>108</v>
      </c>
    </row>
    <row r="6" spans="1:18" s="100" customFormat="1" ht="16.5" customHeight="1" x14ac:dyDescent="0.2">
      <c r="A6" s="90"/>
      <c r="B6" s="148" t="s">
        <v>29</v>
      </c>
      <c r="C6" s="150" t="s">
        <v>30</v>
      </c>
      <c r="D6" s="146" t="s">
        <v>90</v>
      </c>
      <c r="E6" s="147"/>
      <c r="F6" s="146" t="s">
        <v>91</v>
      </c>
      <c r="G6" s="147"/>
      <c r="H6" s="146" t="s">
        <v>92</v>
      </c>
      <c r="I6" s="147"/>
      <c r="J6" s="99"/>
      <c r="K6" s="140" t="s">
        <v>95</v>
      </c>
      <c r="L6" s="140" t="s">
        <v>96</v>
      </c>
      <c r="M6" s="140" t="s">
        <v>97</v>
      </c>
      <c r="N6" s="140" t="s">
        <v>98</v>
      </c>
      <c r="O6" s="140" t="s">
        <v>99</v>
      </c>
      <c r="P6" s="140" t="s">
        <v>100</v>
      </c>
      <c r="Q6" s="140" t="s">
        <v>101</v>
      </c>
      <c r="R6" s="140" t="s">
        <v>102</v>
      </c>
    </row>
    <row r="7" spans="1:18" s="99" customFormat="1" ht="15" customHeight="1" x14ac:dyDescent="0.2">
      <c r="A7" s="90"/>
      <c r="B7" s="149"/>
      <c r="C7" s="151"/>
      <c r="D7" s="102" t="s">
        <v>26</v>
      </c>
      <c r="E7" s="103" t="s">
        <v>27</v>
      </c>
      <c r="F7" s="102" t="s">
        <v>26</v>
      </c>
      <c r="G7" s="103" t="s">
        <v>27</v>
      </c>
      <c r="H7" s="102" t="s">
        <v>26</v>
      </c>
      <c r="I7" s="103" t="s">
        <v>27</v>
      </c>
      <c r="K7" s="141">
        <v>100</v>
      </c>
      <c r="L7" s="141">
        <v>0</v>
      </c>
      <c r="M7" s="141">
        <v>2.1</v>
      </c>
      <c r="N7" s="141">
        <v>100</v>
      </c>
      <c r="O7" s="141">
        <v>8.6999999999999993</v>
      </c>
      <c r="P7" s="141">
        <v>50</v>
      </c>
      <c r="Q7" s="141">
        <v>0.18</v>
      </c>
      <c r="R7" s="141">
        <v>0.18</v>
      </c>
    </row>
    <row r="8" spans="1:18" s="99" customFormat="1" ht="14.25" customHeight="1" x14ac:dyDescent="0.2">
      <c r="A8" s="90"/>
      <c r="B8" s="104" t="s">
        <v>32</v>
      </c>
      <c r="C8" s="105" t="s">
        <v>23</v>
      </c>
      <c r="D8" s="106">
        <v>86</v>
      </c>
      <c r="E8" s="107" t="s">
        <v>36</v>
      </c>
      <c r="F8" s="106">
        <v>86</v>
      </c>
      <c r="G8" s="107" t="s">
        <v>36</v>
      </c>
      <c r="H8" s="106">
        <v>86</v>
      </c>
      <c r="I8" s="107" t="s">
        <v>36</v>
      </c>
      <c r="K8" s="143"/>
      <c r="L8" s="141">
        <v>0.5</v>
      </c>
      <c r="M8" s="141">
        <v>3</v>
      </c>
      <c r="N8" s="141" t="s">
        <v>103</v>
      </c>
      <c r="O8" s="141">
        <v>12.4</v>
      </c>
      <c r="P8" s="141">
        <v>55</v>
      </c>
      <c r="Q8" s="141">
        <v>0.47</v>
      </c>
      <c r="R8" s="141">
        <v>0.37</v>
      </c>
    </row>
    <row r="9" spans="1:18" s="99" customFormat="1" ht="14.25" customHeight="1" x14ac:dyDescent="0.2">
      <c r="A9" s="90"/>
      <c r="B9" s="104" t="s">
        <v>10</v>
      </c>
      <c r="C9" s="105" t="s">
        <v>23</v>
      </c>
      <c r="D9" s="108" t="s">
        <v>36</v>
      </c>
      <c r="E9" s="107" t="s">
        <v>36</v>
      </c>
      <c r="F9" s="108" t="s">
        <v>36</v>
      </c>
      <c r="G9" s="107">
        <v>12</v>
      </c>
      <c r="H9" s="108" t="s">
        <v>36</v>
      </c>
      <c r="I9" s="107">
        <v>12</v>
      </c>
      <c r="K9" s="143"/>
      <c r="L9" s="141">
        <v>0.7</v>
      </c>
      <c r="M9" s="141">
        <v>2.9</v>
      </c>
      <c r="N9" s="141" t="s">
        <v>104</v>
      </c>
      <c r="O9" s="141">
        <v>14.4</v>
      </c>
      <c r="P9" s="141">
        <v>62</v>
      </c>
      <c r="Q9" s="141">
        <v>0.66</v>
      </c>
      <c r="R9" s="141">
        <v>0.48</v>
      </c>
    </row>
    <row r="10" spans="1:18" s="99" customFormat="1" ht="14.25" customHeight="1" x14ac:dyDescent="0.2">
      <c r="A10" s="90"/>
      <c r="B10" s="104" t="s">
        <v>33</v>
      </c>
      <c r="C10" s="105" t="s">
        <v>23</v>
      </c>
      <c r="D10" s="106">
        <v>13</v>
      </c>
      <c r="E10" s="109">
        <v>15</v>
      </c>
      <c r="F10" s="106">
        <v>14</v>
      </c>
      <c r="G10" s="109">
        <v>16</v>
      </c>
      <c r="H10" s="106">
        <v>12</v>
      </c>
      <c r="I10" s="109">
        <v>15</v>
      </c>
      <c r="K10" s="143"/>
      <c r="L10" s="141">
        <v>1.1000000000000001</v>
      </c>
      <c r="M10" s="141">
        <v>3</v>
      </c>
      <c r="N10" s="141">
        <v>15</v>
      </c>
      <c r="O10" s="141">
        <v>17.8</v>
      </c>
      <c r="P10" s="141">
        <v>77</v>
      </c>
      <c r="Q10" s="141">
        <v>0.97</v>
      </c>
      <c r="R10" s="141">
        <v>0.63</v>
      </c>
    </row>
    <row r="11" spans="1:18" s="99" customFormat="1" ht="14.25" customHeight="1" x14ac:dyDescent="0.2">
      <c r="A11" s="90"/>
      <c r="B11" s="104" t="s">
        <v>34</v>
      </c>
      <c r="C11" s="105" t="s">
        <v>23</v>
      </c>
      <c r="D11" s="108">
        <v>7</v>
      </c>
      <c r="E11" s="107" t="s">
        <v>36</v>
      </c>
      <c r="F11" s="108"/>
      <c r="G11" s="107">
        <v>6</v>
      </c>
      <c r="H11" s="108"/>
      <c r="I11" s="107">
        <v>6</v>
      </c>
      <c r="K11" s="142">
        <v>150</v>
      </c>
      <c r="L11" s="142">
        <v>0</v>
      </c>
      <c r="M11" s="142">
        <v>2.8</v>
      </c>
      <c r="N11" s="142">
        <v>100</v>
      </c>
      <c r="O11" s="142">
        <v>8.6999999999999993</v>
      </c>
      <c r="P11" s="142">
        <v>50</v>
      </c>
      <c r="Q11" s="142">
        <v>0.18</v>
      </c>
      <c r="R11" s="142">
        <v>0.18</v>
      </c>
    </row>
    <row r="12" spans="1:18" s="99" customFormat="1" ht="14.25" customHeight="1" x14ac:dyDescent="0.2">
      <c r="A12" s="90"/>
      <c r="B12" s="104" t="s">
        <v>35</v>
      </c>
      <c r="C12" s="105" t="s">
        <v>23</v>
      </c>
      <c r="D12" s="108" t="s">
        <v>36</v>
      </c>
      <c r="E12" s="109">
        <v>21</v>
      </c>
      <c r="F12" s="108" t="s">
        <v>36</v>
      </c>
      <c r="G12" s="109">
        <v>21</v>
      </c>
      <c r="H12" s="108" t="s">
        <v>36</v>
      </c>
      <c r="I12" s="109">
        <v>21</v>
      </c>
      <c r="K12" s="144"/>
      <c r="L12" s="142">
        <v>0.5</v>
      </c>
      <c r="M12" s="142">
        <v>4.0999999999999996</v>
      </c>
      <c r="N12" s="142" t="s">
        <v>103</v>
      </c>
      <c r="O12" s="142">
        <v>11</v>
      </c>
      <c r="P12" s="142">
        <v>55</v>
      </c>
      <c r="Q12" s="142">
        <v>0.34</v>
      </c>
      <c r="R12" s="142">
        <v>0.39</v>
      </c>
    </row>
    <row r="13" spans="1:18" s="99" customFormat="1" ht="14.25" customHeight="1" x14ac:dyDescent="0.2">
      <c r="A13" s="90"/>
      <c r="B13" s="104" t="s">
        <v>18</v>
      </c>
      <c r="C13" s="105" t="s">
        <v>23</v>
      </c>
      <c r="D13" s="108" t="s">
        <v>36</v>
      </c>
      <c r="E13" s="107" t="s">
        <v>36</v>
      </c>
      <c r="F13" s="108" t="s">
        <v>36</v>
      </c>
      <c r="G13" s="107" t="s">
        <v>36</v>
      </c>
      <c r="H13" s="108" t="s">
        <v>36</v>
      </c>
      <c r="I13" s="107" t="s">
        <v>36</v>
      </c>
      <c r="K13" s="144"/>
      <c r="L13" s="142">
        <v>0.7</v>
      </c>
      <c r="M13" s="142">
        <v>4</v>
      </c>
      <c r="N13" s="142" t="s">
        <v>104</v>
      </c>
      <c r="O13" s="142">
        <v>12.4</v>
      </c>
      <c r="P13" s="142">
        <v>62</v>
      </c>
      <c r="Q13" s="142">
        <v>0.45</v>
      </c>
      <c r="R13" s="142">
        <v>0.35</v>
      </c>
    </row>
    <row r="14" spans="1:18" s="99" customFormat="1" ht="14.25" customHeight="1" x14ac:dyDescent="0.2">
      <c r="A14" s="90"/>
      <c r="B14" s="104" t="s">
        <v>75</v>
      </c>
      <c r="C14" s="105" t="s">
        <v>28</v>
      </c>
      <c r="D14" s="108">
        <v>70</v>
      </c>
      <c r="E14" s="107">
        <v>72</v>
      </c>
      <c r="F14" s="108">
        <v>65</v>
      </c>
      <c r="G14" s="107">
        <v>68</v>
      </c>
      <c r="H14" s="108">
        <v>65</v>
      </c>
      <c r="I14" s="107">
        <v>68</v>
      </c>
      <c r="K14" s="144"/>
      <c r="L14" s="142">
        <v>1.1000000000000001</v>
      </c>
      <c r="M14" s="142">
        <v>4</v>
      </c>
      <c r="N14" s="142">
        <v>15</v>
      </c>
      <c r="O14" s="142">
        <v>15</v>
      </c>
      <c r="P14" s="142">
        <v>77</v>
      </c>
      <c r="Q14" s="142">
        <v>0.5</v>
      </c>
      <c r="R14" s="142">
        <v>0.38</v>
      </c>
    </row>
    <row r="15" spans="1:18" s="99" customFormat="1" ht="14.25" customHeight="1" x14ac:dyDescent="0.2">
      <c r="A15" s="90"/>
      <c r="B15" s="104" t="s">
        <v>41</v>
      </c>
      <c r="C15" s="105" t="s">
        <v>23</v>
      </c>
      <c r="D15" s="110">
        <v>0.8</v>
      </c>
      <c r="E15" s="111">
        <v>1</v>
      </c>
      <c r="F15" s="110">
        <v>0.8</v>
      </c>
      <c r="G15" s="111">
        <v>1</v>
      </c>
      <c r="H15" s="110">
        <v>0.8</v>
      </c>
      <c r="I15" s="111">
        <v>1</v>
      </c>
      <c r="K15" s="141">
        <v>200</v>
      </c>
      <c r="L15" s="141">
        <v>0</v>
      </c>
      <c r="M15" s="141">
        <v>3.5</v>
      </c>
      <c r="N15" s="141">
        <v>100</v>
      </c>
      <c r="O15" s="141">
        <v>8.5</v>
      </c>
      <c r="P15" s="141">
        <v>50</v>
      </c>
      <c r="Q15" s="141">
        <v>0.18</v>
      </c>
      <c r="R15" s="141">
        <v>0.18</v>
      </c>
    </row>
    <row r="16" spans="1:18" s="99" customFormat="1" ht="14.25" customHeight="1" x14ac:dyDescent="0.2">
      <c r="A16" s="90"/>
      <c r="B16" s="104" t="s">
        <v>76</v>
      </c>
      <c r="C16" s="105" t="s">
        <v>23</v>
      </c>
      <c r="D16" s="108">
        <v>0.6</v>
      </c>
      <c r="E16" s="107">
        <v>0.8</v>
      </c>
      <c r="F16" s="108">
        <v>0.6</v>
      </c>
      <c r="G16" s="107">
        <v>0.8</v>
      </c>
      <c r="H16" s="108">
        <v>0.6</v>
      </c>
      <c r="I16" s="107">
        <v>0.8</v>
      </c>
      <c r="K16" s="143"/>
      <c r="L16" s="141">
        <v>0.3</v>
      </c>
      <c r="M16" s="141">
        <v>5.4</v>
      </c>
      <c r="N16" s="141">
        <v>100</v>
      </c>
      <c r="O16" s="141">
        <v>9.1</v>
      </c>
      <c r="P16" s="141">
        <v>50</v>
      </c>
      <c r="Q16" s="141">
        <v>0.18</v>
      </c>
      <c r="R16" s="141">
        <v>0.18</v>
      </c>
    </row>
    <row r="17" spans="1:18" s="101" customFormat="1" ht="14.25" customHeight="1" x14ac:dyDescent="0.2">
      <c r="A17" s="90"/>
      <c r="B17" s="90"/>
      <c r="C17" s="90"/>
      <c r="D17" s="90"/>
      <c r="E17" s="90"/>
      <c r="F17" s="90"/>
      <c r="G17" s="90"/>
      <c r="H17" s="90"/>
      <c r="I17" s="90"/>
      <c r="J17" s="99"/>
      <c r="K17" s="143"/>
      <c r="L17" s="141">
        <v>0.7</v>
      </c>
      <c r="M17" s="141">
        <v>6</v>
      </c>
      <c r="N17" s="141" t="s">
        <v>103</v>
      </c>
      <c r="O17" s="141">
        <v>10.199999999999999</v>
      </c>
      <c r="P17" s="141">
        <v>58</v>
      </c>
      <c r="Q17" s="141">
        <v>0.3</v>
      </c>
      <c r="R17" s="141">
        <v>0.27</v>
      </c>
    </row>
    <row r="18" spans="1:18" s="101" customFormat="1" ht="14.25" customHeight="1" x14ac:dyDescent="0.2">
      <c r="A18" s="90"/>
      <c r="B18" s="90"/>
      <c r="C18" s="90"/>
      <c r="D18" s="90"/>
      <c r="E18" s="90"/>
      <c r="F18" s="90"/>
      <c r="G18" s="90"/>
      <c r="H18" s="90"/>
      <c r="I18" s="90"/>
      <c r="J18" s="99"/>
      <c r="K18" s="143"/>
      <c r="L18" s="141">
        <v>1.1000000000000001</v>
      </c>
      <c r="M18" s="141">
        <v>5</v>
      </c>
      <c r="N18" s="141">
        <v>15</v>
      </c>
      <c r="O18" s="141">
        <v>12.8</v>
      </c>
      <c r="P18" s="141">
        <v>77</v>
      </c>
      <c r="Q18" s="141">
        <v>0.5</v>
      </c>
      <c r="R18" s="141">
        <v>0.38</v>
      </c>
    </row>
    <row r="19" spans="1:18" s="101" customFormat="1" ht="14.25" customHeight="1" x14ac:dyDescent="0.2">
      <c r="A19" s="90"/>
      <c r="B19" s="90"/>
      <c r="C19" s="90"/>
      <c r="D19" s="90"/>
      <c r="E19" s="90"/>
      <c r="F19" s="90"/>
      <c r="G19" s="90"/>
      <c r="H19" s="90"/>
      <c r="I19" s="90"/>
      <c r="J19" s="99"/>
      <c r="K19" s="142">
        <v>250</v>
      </c>
      <c r="L19" s="142">
        <v>0</v>
      </c>
      <c r="M19" s="142">
        <v>4.0999999999999996</v>
      </c>
      <c r="N19" s="142">
        <v>100</v>
      </c>
      <c r="O19" s="142">
        <v>8.5</v>
      </c>
      <c r="P19" s="142">
        <v>50</v>
      </c>
      <c r="Q19" s="142">
        <v>0.18</v>
      </c>
      <c r="R19" s="142">
        <v>0.18</v>
      </c>
    </row>
    <row r="20" spans="1:18" s="101" customFormat="1" ht="14.25" customHeight="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9"/>
      <c r="K20" s="144"/>
      <c r="L20" s="142">
        <v>0.3</v>
      </c>
      <c r="M20" s="142">
        <v>6.4</v>
      </c>
      <c r="N20" s="142">
        <v>100</v>
      </c>
      <c r="O20" s="142">
        <v>8.9</v>
      </c>
      <c r="P20" s="142">
        <v>50</v>
      </c>
      <c r="Q20" s="142">
        <v>0.18</v>
      </c>
      <c r="R20" s="142">
        <v>0.18</v>
      </c>
    </row>
    <row r="21" spans="1:18" s="101" customFormat="1" ht="14.25" customHeight="1" x14ac:dyDescent="0.2">
      <c r="A21" s="90"/>
      <c r="B21" s="90"/>
      <c r="C21" s="90"/>
      <c r="D21" s="90"/>
      <c r="E21" s="90"/>
      <c r="F21" s="90"/>
      <c r="G21" s="90"/>
      <c r="H21" s="90"/>
      <c r="I21" s="90"/>
      <c r="J21" s="99"/>
      <c r="K21" s="144"/>
      <c r="L21" s="142">
        <v>0.7</v>
      </c>
      <c r="M21" s="142">
        <v>5.8</v>
      </c>
      <c r="N21" s="142" t="s">
        <v>105</v>
      </c>
      <c r="O21" s="142">
        <v>10.5</v>
      </c>
      <c r="P21" s="142">
        <v>65</v>
      </c>
      <c r="Q21" s="142">
        <v>0.28999999999999998</v>
      </c>
      <c r="R21" s="142">
        <v>0.26</v>
      </c>
    </row>
    <row r="22" spans="1:18" s="101" customFormat="1" ht="14.25" customHeight="1" x14ac:dyDescent="0.2">
      <c r="A22" s="90"/>
      <c r="B22" s="90"/>
      <c r="C22" s="90"/>
      <c r="D22" s="90"/>
      <c r="E22" s="90"/>
      <c r="F22" s="90"/>
      <c r="G22" s="90"/>
      <c r="H22" s="90"/>
      <c r="I22" s="90"/>
      <c r="K22" s="144"/>
      <c r="L22" s="142">
        <v>1.1000000000000001</v>
      </c>
      <c r="M22" s="142">
        <v>6.5</v>
      </c>
      <c r="N22" s="142" t="s">
        <v>106</v>
      </c>
      <c r="O22" s="142">
        <v>11.4</v>
      </c>
      <c r="P22" s="142">
        <v>72</v>
      </c>
      <c r="Q22" s="142">
        <v>0.38</v>
      </c>
      <c r="R22" s="142">
        <v>0.31</v>
      </c>
    </row>
    <row r="23" spans="1:18" s="101" customFormat="1" ht="14.25" customHeight="1" x14ac:dyDescent="0.2">
      <c r="A23" s="90"/>
      <c r="B23" s="90"/>
      <c r="C23" s="90"/>
      <c r="D23" s="90"/>
      <c r="E23" s="90"/>
      <c r="F23" s="90"/>
      <c r="G23" s="90"/>
      <c r="H23" s="90"/>
      <c r="I23" s="90"/>
      <c r="K23" s="141">
        <v>300</v>
      </c>
      <c r="L23" s="141">
        <v>0</v>
      </c>
      <c r="M23" s="141">
        <v>4.7</v>
      </c>
      <c r="N23" s="141">
        <v>100</v>
      </c>
      <c r="O23" s="141">
        <v>8.6</v>
      </c>
      <c r="P23" s="141">
        <v>50</v>
      </c>
      <c r="Q23" s="141">
        <v>0.18</v>
      </c>
      <c r="R23" s="141">
        <v>0.18</v>
      </c>
    </row>
    <row r="24" spans="1:18" s="101" customFormat="1" ht="14.25" customHeight="1" x14ac:dyDescent="0.2">
      <c r="A24" s="90"/>
      <c r="B24" s="90"/>
      <c r="C24" s="90"/>
      <c r="D24" s="90"/>
      <c r="E24" s="90"/>
      <c r="F24" s="90"/>
      <c r="G24" s="90"/>
      <c r="H24" s="90"/>
      <c r="I24" s="90"/>
      <c r="K24" s="143"/>
      <c r="L24" s="141">
        <v>0.3</v>
      </c>
      <c r="M24" s="141">
        <v>7.4</v>
      </c>
      <c r="N24" s="141">
        <v>100</v>
      </c>
      <c r="O24" s="141">
        <v>8.9</v>
      </c>
      <c r="P24" s="141">
        <v>50</v>
      </c>
      <c r="Q24" s="141">
        <v>0.18</v>
      </c>
      <c r="R24" s="141">
        <v>0.18</v>
      </c>
    </row>
    <row r="25" spans="1:18" s="101" customFormat="1" ht="14.25" customHeight="1" x14ac:dyDescent="0.2">
      <c r="A25" s="90"/>
      <c r="B25" s="90"/>
      <c r="C25" s="90"/>
      <c r="D25" s="90"/>
      <c r="E25" s="90"/>
      <c r="F25" s="90"/>
      <c r="G25" s="90"/>
      <c r="H25" s="90"/>
      <c r="I25" s="90"/>
      <c r="K25" s="143"/>
      <c r="L25" s="141">
        <v>0.7</v>
      </c>
      <c r="M25" s="141">
        <v>6.6</v>
      </c>
      <c r="N25" s="141" t="s">
        <v>105</v>
      </c>
      <c r="O25" s="141">
        <v>10.5</v>
      </c>
      <c r="P25" s="141">
        <v>65</v>
      </c>
      <c r="Q25" s="141">
        <v>0.24</v>
      </c>
      <c r="R25" s="141">
        <v>0.23</v>
      </c>
    </row>
    <row r="26" spans="1:18" s="101" customFormat="1" ht="14.25" customHeight="1" x14ac:dyDescent="0.2">
      <c r="A26" s="90"/>
      <c r="B26" s="90"/>
      <c r="C26" s="90"/>
      <c r="D26" s="90"/>
      <c r="E26" s="90"/>
      <c r="F26" s="90"/>
      <c r="G26" s="90"/>
      <c r="H26" s="90"/>
      <c r="I26" s="90"/>
      <c r="K26" s="143"/>
      <c r="L26" s="141">
        <v>1.1000000000000001</v>
      </c>
      <c r="M26" s="141">
        <v>7.5</v>
      </c>
      <c r="N26" s="141" t="s">
        <v>106</v>
      </c>
      <c r="O26" s="141">
        <v>11.4</v>
      </c>
      <c r="P26" s="141">
        <v>72</v>
      </c>
      <c r="Q26" s="141">
        <v>0.31</v>
      </c>
      <c r="R26" s="141">
        <v>0.27</v>
      </c>
    </row>
    <row r="27" spans="1:18" s="101" customFormat="1" ht="14.25" customHeight="1" x14ac:dyDescent="0.2">
      <c r="A27" s="90"/>
      <c r="B27" s="90"/>
      <c r="C27" s="90"/>
      <c r="D27" s="90"/>
      <c r="E27" s="90"/>
      <c r="F27" s="90"/>
      <c r="G27" s="90"/>
      <c r="H27" s="90"/>
      <c r="I27" s="90"/>
      <c r="K27" s="142">
        <v>350</v>
      </c>
      <c r="L27" s="142">
        <v>0</v>
      </c>
      <c r="M27" s="142">
        <v>5.3</v>
      </c>
      <c r="N27" s="142">
        <v>100</v>
      </c>
      <c r="O27" s="142">
        <v>8.5</v>
      </c>
      <c r="P27" s="142">
        <v>50</v>
      </c>
      <c r="Q27" s="142">
        <v>0.18</v>
      </c>
      <c r="R27" s="142">
        <v>0.18</v>
      </c>
    </row>
    <row r="28" spans="1:18" s="101" customFormat="1" ht="14.25" customHeight="1" x14ac:dyDescent="0.2">
      <c r="A28" s="90"/>
      <c r="B28" s="90"/>
      <c r="C28" s="90"/>
      <c r="D28" s="90"/>
      <c r="E28" s="90"/>
      <c r="F28" s="90"/>
      <c r="G28" s="90"/>
      <c r="H28" s="90"/>
      <c r="I28" s="90"/>
      <c r="K28" s="144"/>
      <c r="L28" s="142">
        <v>0.3</v>
      </c>
      <c r="M28" s="142">
        <v>8.1999999999999993</v>
      </c>
      <c r="N28" s="142">
        <v>100</v>
      </c>
      <c r="O28" s="142">
        <v>8.5</v>
      </c>
      <c r="P28" s="142">
        <v>50</v>
      </c>
      <c r="Q28" s="142">
        <v>0.18</v>
      </c>
      <c r="R28" s="142">
        <v>0.18</v>
      </c>
    </row>
    <row r="29" spans="1:18" s="101" customFormat="1" ht="14.25" customHeight="1" x14ac:dyDescent="0.2">
      <c r="A29" s="90"/>
      <c r="B29" s="90"/>
      <c r="C29" s="90"/>
      <c r="D29" s="90"/>
      <c r="E29" s="90"/>
      <c r="F29" s="90"/>
      <c r="G29" s="90"/>
      <c r="H29" s="90"/>
      <c r="I29" s="90"/>
      <c r="K29" s="144"/>
      <c r="L29" s="142">
        <v>0.7</v>
      </c>
      <c r="M29" s="142">
        <v>7.9</v>
      </c>
      <c r="N29" s="142" t="s">
        <v>105</v>
      </c>
      <c r="O29" s="142">
        <v>9.1999999999999993</v>
      </c>
      <c r="P29" s="142">
        <v>62</v>
      </c>
      <c r="Q29" s="142">
        <v>0.19</v>
      </c>
      <c r="R29" s="142">
        <v>0.19</v>
      </c>
    </row>
    <row r="30" spans="1:18" s="101" customFormat="1" ht="14.25" customHeight="1" x14ac:dyDescent="0.2">
      <c r="A30" s="90"/>
      <c r="B30" s="90"/>
      <c r="C30" s="90"/>
      <c r="D30" s="90"/>
      <c r="E30" s="90"/>
      <c r="F30" s="90"/>
      <c r="G30" s="90"/>
      <c r="H30" s="90"/>
      <c r="I30" s="90"/>
      <c r="K30" s="144"/>
      <c r="L30" s="142">
        <v>1.1000000000000001</v>
      </c>
      <c r="M30" s="142">
        <v>8.3000000000000007</v>
      </c>
      <c r="N30" s="142" t="s">
        <v>106</v>
      </c>
      <c r="O30" s="142">
        <v>9.9</v>
      </c>
      <c r="P30" s="142">
        <v>72</v>
      </c>
      <c r="Q30" s="142">
        <v>0.24</v>
      </c>
      <c r="R30" s="142">
        <v>0.23</v>
      </c>
    </row>
    <row r="31" spans="1:18" s="101" customFormat="1" ht="14.25" customHeight="1" x14ac:dyDescent="0.2">
      <c r="A31" s="90"/>
      <c r="B31" s="90"/>
      <c r="C31" s="90"/>
      <c r="D31" s="90"/>
      <c r="E31" s="90"/>
      <c r="F31" s="90"/>
      <c r="G31" s="90"/>
      <c r="H31" s="90"/>
      <c r="I31" s="90"/>
      <c r="K31" s="141">
        <v>400</v>
      </c>
      <c r="L31" s="141">
        <v>0</v>
      </c>
      <c r="M31" s="141">
        <v>5.8</v>
      </c>
      <c r="N31" s="141">
        <v>100</v>
      </c>
      <c r="O31" s="141">
        <v>8.5</v>
      </c>
      <c r="P31" s="141">
        <v>50</v>
      </c>
      <c r="Q31" s="141">
        <v>0.18</v>
      </c>
      <c r="R31" s="141">
        <v>0.18</v>
      </c>
    </row>
    <row r="32" spans="1:18" s="101" customFormat="1" ht="14.25" customHeight="1" x14ac:dyDescent="0.2">
      <c r="A32" s="90"/>
      <c r="B32" s="90"/>
      <c r="C32" s="90"/>
      <c r="D32" s="90"/>
      <c r="E32" s="90"/>
      <c r="F32" s="90"/>
      <c r="G32" s="90"/>
      <c r="H32" s="90"/>
      <c r="I32" s="90"/>
      <c r="K32" s="143"/>
      <c r="L32" s="141">
        <v>0.3</v>
      </c>
      <c r="M32" s="141">
        <v>9.1</v>
      </c>
      <c r="N32" s="141">
        <v>100</v>
      </c>
      <c r="O32" s="141">
        <v>8.5</v>
      </c>
      <c r="P32" s="141">
        <v>50</v>
      </c>
      <c r="Q32" s="141">
        <v>0.18</v>
      </c>
      <c r="R32" s="141">
        <v>0.18</v>
      </c>
    </row>
    <row r="33" spans="1:18" s="101" customFormat="1" ht="14.25" customHeight="1" x14ac:dyDescent="0.2">
      <c r="A33" s="90"/>
      <c r="B33" s="90"/>
      <c r="C33" s="90"/>
      <c r="D33" s="90"/>
      <c r="E33" s="90"/>
      <c r="F33" s="90"/>
      <c r="G33" s="90"/>
      <c r="H33" s="90"/>
      <c r="I33" s="90"/>
      <c r="K33" s="143"/>
      <c r="L33" s="141">
        <v>0.5</v>
      </c>
      <c r="M33" s="141">
        <v>8.5</v>
      </c>
      <c r="N33" s="141" t="s">
        <v>103</v>
      </c>
      <c r="O33" s="141">
        <v>8.8000000000000007</v>
      </c>
      <c r="P33" s="141">
        <v>58</v>
      </c>
      <c r="Q33" s="141">
        <v>0.18</v>
      </c>
      <c r="R33" s="141">
        <v>0.18</v>
      </c>
    </row>
    <row r="34" spans="1:18" s="101" customFormat="1" ht="14.25" customHeight="1" x14ac:dyDescent="0.2">
      <c r="A34" s="90"/>
      <c r="B34" s="90"/>
      <c r="C34" s="90"/>
      <c r="D34" s="90"/>
      <c r="E34" s="90"/>
      <c r="F34" s="90"/>
      <c r="G34" s="90"/>
      <c r="H34" s="90"/>
      <c r="I34" s="90"/>
      <c r="K34" s="143"/>
      <c r="L34" s="141">
        <v>0.9</v>
      </c>
      <c r="M34" s="141">
        <v>8.4</v>
      </c>
      <c r="N34" s="141" t="s">
        <v>106</v>
      </c>
      <c r="O34" s="141">
        <v>9.4</v>
      </c>
      <c r="P34" s="141">
        <v>69</v>
      </c>
      <c r="Q34" s="141">
        <v>0.2</v>
      </c>
      <c r="R34" s="141">
        <v>0.2</v>
      </c>
    </row>
    <row r="35" spans="1:18" s="101" customFormat="1" ht="14.25" customHeight="1" x14ac:dyDescent="0.2">
      <c r="A35" s="90"/>
      <c r="B35" s="90"/>
      <c r="C35" s="90"/>
      <c r="D35" s="90"/>
      <c r="E35" s="90"/>
      <c r="F35" s="90"/>
      <c r="G35" s="90"/>
      <c r="H35" s="90"/>
      <c r="I35" s="90"/>
      <c r="K35" s="142">
        <v>450</v>
      </c>
      <c r="L35" s="142">
        <v>0</v>
      </c>
      <c r="M35" s="142">
        <v>6.4</v>
      </c>
      <c r="N35" s="142">
        <v>100</v>
      </c>
      <c r="O35" s="142">
        <v>8.5</v>
      </c>
      <c r="P35" s="142">
        <v>50</v>
      </c>
      <c r="Q35" s="142">
        <v>0.18</v>
      </c>
      <c r="R35" s="142">
        <v>0.18</v>
      </c>
    </row>
    <row r="36" spans="1:18" s="101" customFormat="1" ht="14.25" customHeight="1" x14ac:dyDescent="0.2">
      <c r="A36" s="90"/>
      <c r="B36" s="90"/>
      <c r="C36" s="90"/>
      <c r="D36" s="90"/>
      <c r="E36" s="90"/>
      <c r="F36" s="90"/>
      <c r="G36" s="90"/>
      <c r="H36" s="90"/>
      <c r="I36" s="90"/>
      <c r="K36" s="144"/>
      <c r="L36" s="142">
        <v>0.2</v>
      </c>
      <c r="M36" s="142">
        <v>8.6999999999999993</v>
      </c>
      <c r="N36" s="142">
        <v>100</v>
      </c>
      <c r="O36" s="142">
        <v>8.5</v>
      </c>
      <c r="P36" s="142">
        <v>50</v>
      </c>
      <c r="Q36" s="142">
        <v>0.18</v>
      </c>
      <c r="R36" s="142">
        <v>0.17</v>
      </c>
    </row>
    <row r="37" spans="1:18" s="101" customFormat="1" ht="14.25" customHeight="1" x14ac:dyDescent="0.2">
      <c r="A37" s="90"/>
      <c r="B37" s="90"/>
      <c r="C37" s="90"/>
      <c r="D37" s="90"/>
      <c r="E37" s="90"/>
      <c r="F37" s="90"/>
      <c r="G37" s="90"/>
      <c r="H37" s="90"/>
      <c r="I37" s="90"/>
      <c r="K37" s="144"/>
      <c r="L37" s="142">
        <v>0.8</v>
      </c>
      <c r="M37" s="142">
        <v>9.1</v>
      </c>
      <c r="N37" s="142" t="s">
        <v>107</v>
      </c>
      <c r="O37" s="142">
        <v>9</v>
      </c>
      <c r="P37" s="142">
        <v>68</v>
      </c>
      <c r="Q37" s="142">
        <v>0.18</v>
      </c>
      <c r="R37" s="142">
        <v>0.18</v>
      </c>
    </row>
    <row r="38" spans="1:18" s="101" customFormat="1" ht="14.25" customHeight="1" x14ac:dyDescent="0.2">
      <c r="A38" s="90"/>
      <c r="B38" s="90"/>
      <c r="C38" s="90"/>
      <c r="D38" s="90"/>
      <c r="E38" s="90"/>
      <c r="F38" s="90"/>
      <c r="G38" s="90"/>
      <c r="H38" s="90"/>
      <c r="I38" s="90"/>
    </row>
    <row r="39" spans="1:18" s="101" customFormat="1" ht="14.25" customHeight="1" x14ac:dyDescent="0.2">
      <c r="A39" s="90"/>
      <c r="B39" s="90"/>
      <c r="C39" s="90"/>
      <c r="D39" s="90"/>
      <c r="E39" s="90"/>
      <c r="F39" s="90"/>
      <c r="G39" s="90"/>
      <c r="H39" s="90"/>
      <c r="I39" s="90"/>
    </row>
    <row r="40" spans="1:18" s="101" customFormat="1" ht="14.25" customHeight="1" x14ac:dyDescent="0.2">
      <c r="A40" s="90"/>
      <c r="B40" s="90"/>
      <c r="C40" s="90"/>
      <c r="D40" s="90"/>
      <c r="E40" s="90"/>
      <c r="F40" s="90"/>
      <c r="G40" s="90"/>
      <c r="H40" s="90"/>
      <c r="I40" s="90"/>
    </row>
    <row r="41" spans="1:18" s="101" customFormat="1" ht="14.25" customHeight="1" x14ac:dyDescent="0.2">
      <c r="A41" s="90"/>
      <c r="B41" s="90"/>
      <c r="C41" s="90"/>
      <c r="D41" s="90"/>
      <c r="E41" s="90"/>
      <c r="F41" s="90"/>
      <c r="G41" s="90"/>
      <c r="H41" s="90"/>
      <c r="I41" s="90"/>
    </row>
    <row r="42" spans="1:18" s="101" customFormat="1" ht="14.25" customHeight="1" x14ac:dyDescent="0.2">
      <c r="A42" s="90"/>
      <c r="B42" s="90"/>
      <c r="C42" s="90"/>
      <c r="D42" s="90"/>
      <c r="E42" s="90"/>
      <c r="F42" s="90"/>
      <c r="G42" s="90"/>
      <c r="H42" s="90"/>
      <c r="I42" s="90"/>
    </row>
    <row r="43" spans="1:18" s="101" customFormat="1" ht="14.25" customHeight="1" x14ac:dyDescent="0.2">
      <c r="A43" s="90"/>
      <c r="B43" s="90"/>
      <c r="C43" s="90"/>
      <c r="D43" s="90"/>
      <c r="E43" s="90"/>
      <c r="F43" s="90"/>
      <c r="G43" s="90"/>
      <c r="H43" s="90"/>
      <c r="I43" s="90"/>
    </row>
    <row r="44" spans="1:18" s="101" customFormat="1" ht="14.25" customHeight="1" x14ac:dyDescent="0.2">
      <c r="A44" s="90"/>
      <c r="B44" s="90"/>
      <c r="C44" s="90"/>
      <c r="D44" s="90"/>
      <c r="E44" s="90"/>
      <c r="F44" s="90"/>
      <c r="G44" s="90"/>
      <c r="H44" s="90"/>
      <c r="I44" s="90"/>
    </row>
    <row r="45" spans="1:18" s="101" customFormat="1" ht="14.25" customHeight="1" x14ac:dyDescent="0.2">
      <c r="A45" s="90"/>
      <c r="B45" s="90"/>
      <c r="C45" s="90"/>
      <c r="D45" s="90"/>
      <c r="E45" s="90"/>
      <c r="F45" s="90"/>
      <c r="G45" s="90"/>
      <c r="H45" s="90"/>
      <c r="I45" s="90"/>
    </row>
    <row r="46" spans="1:18" s="101" customFormat="1" ht="14.25" customHeight="1" x14ac:dyDescent="0.2">
      <c r="A46" s="90"/>
      <c r="B46" s="90"/>
      <c r="C46" s="90"/>
      <c r="D46" s="90"/>
      <c r="E46" s="90"/>
      <c r="F46" s="90"/>
      <c r="G46" s="90"/>
      <c r="H46" s="90"/>
      <c r="I46" s="90"/>
    </row>
    <row r="47" spans="1:18" s="101" customFormat="1" ht="14.25" customHeight="1" x14ac:dyDescent="0.2">
      <c r="A47" s="90"/>
      <c r="B47" s="90"/>
      <c r="C47" s="90"/>
      <c r="D47" s="90"/>
      <c r="E47" s="90"/>
      <c r="F47" s="90"/>
      <c r="G47" s="90"/>
      <c r="H47" s="90"/>
      <c r="I47" s="90"/>
    </row>
    <row r="48" spans="1:18" s="101" customFormat="1" ht="14.25" customHeight="1" x14ac:dyDescent="0.2">
      <c r="A48" s="90"/>
      <c r="B48" s="90"/>
      <c r="C48" s="90"/>
      <c r="D48" s="90"/>
      <c r="E48" s="90"/>
      <c r="F48" s="90"/>
      <c r="G48" s="90"/>
      <c r="H48" s="90"/>
      <c r="I48" s="90"/>
    </row>
    <row r="49" spans="1:18" s="101" customFormat="1" ht="14.25" customHeight="1" x14ac:dyDescent="0.2">
      <c r="A49" s="90"/>
      <c r="B49" s="90"/>
      <c r="C49" s="90"/>
      <c r="D49" s="90"/>
      <c r="E49" s="90"/>
      <c r="F49" s="90"/>
      <c r="G49" s="90"/>
      <c r="H49" s="90"/>
      <c r="I49" s="90"/>
    </row>
    <row r="50" spans="1:18" s="101" customFormat="1" ht="14.25" customHeight="1" x14ac:dyDescent="0.2">
      <c r="A50" s="90"/>
      <c r="B50" s="90"/>
      <c r="C50" s="90"/>
      <c r="D50" s="90"/>
      <c r="E50" s="90"/>
      <c r="F50" s="90"/>
      <c r="G50" s="90"/>
      <c r="H50" s="90"/>
      <c r="I50" s="90"/>
    </row>
    <row r="51" spans="1:18" s="101" customFormat="1" ht="14.25" customHeight="1" x14ac:dyDescent="0.2">
      <c r="A51" s="90"/>
      <c r="B51" s="90"/>
      <c r="C51" s="90"/>
      <c r="D51" s="90"/>
      <c r="E51" s="90"/>
      <c r="F51" s="90"/>
      <c r="G51" s="90"/>
      <c r="H51" s="90"/>
      <c r="I51" s="90"/>
    </row>
    <row r="52" spans="1:18" s="101" customFormat="1" ht="14.25" customHeight="1" x14ac:dyDescent="0.2">
      <c r="A52" s="90"/>
      <c r="B52" s="90"/>
      <c r="C52" s="90"/>
      <c r="D52" s="90"/>
      <c r="E52" s="90"/>
      <c r="F52" s="90"/>
      <c r="G52" s="90"/>
      <c r="H52" s="90"/>
      <c r="I52" s="90"/>
    </row>
    <row r="53" spans="1:18" s="101" customFormat="1" ht="14.25" customHeight="1" x14ac:dyDescent="0.2">
      <c r="A53" s="90"/>
      <c r="B53" s="90"/>
      <c r="C53" s="90"/>
      <c r="D53" s="90"/>
      <c r="E53" s="90"/>
      <c r="F53" s="90"/>
      <c r="G53" s="90"/>
      <c r="H53" s="90"/>
      <c r="I53" s="90"/>
    </row>
    <row r="54" spans="1:18" s="101" customFormat="1" ht="14.25" customHeight="1" x14ac:dyDescent="0.2">
      <c r="A54" s="90"/>
      <c r="B54" s="90"/>
      <c r="C54" s="90"/>
      <c r="D54" s="90"/>
      <c r="E54" s="90"/>
      <c r="F54" s="90"/>
      <c r="G54" s="90"/>
      <c r="H54" s="90"/>
      <c r="I54" s="90"/>
    </row>
    <row r="55" spans="1:18" s="101" customFormat="1" ht="14.25" customHeight="1" x14ac:dyDescent="0.2">
      <c r="A55" s="90"/>
      <c r="B55" s="90"/>
      <c r="C55" s="90"/>
      <c r="D55" s="90"/>
      <c r="E55" s="90"/>
      <c r="F55" s="90"/>
      <c r="G55" s="90"/>
      <c r="H55" s="90"/>
      <c r="I55" s="90"/>
    </row>
    <row r="56" spans="1:18" s="101" customFormat="1" ht="14.25" customHeight="1" x14ac:dyDescent="0.2">
      <c r="A56" s="90"/>
      <c r="B56" s="90"/>
      <c r="C56" s="90"/>
      <c r="D56" s="90"/>
      <c r="E56" s="90"/>
      <c r="F56" s="90"/>
      <c r="G56" s="90"/>
      <c r="H56" s="90"/>
      <c r="I56" s="90"/>
    </row>
    <row r="57" spans="1:18" s="101" customFormat="1" ht="14.25" customHeight="1" x14ac:dyDescent="0.2">
      <c r="A57" s="90"/>
      <c r="B57" s="90"/>
      <c r="C57" s="90"/>
      <c r="D57" s="90"/>
      <c r="E57" s="90"/>
      <c r="F57" s="90"/>
      <c r="G57" s="90"/>
      <c r="H57" s="90"/>
      <c r="I57" s="90"/>
    </row>
    <row r="58" spans="1:18" s="101" customFormat="1" ht="14.25" customHeight="1" x14ac:dyDescent="0.2">
      <c r="A58" s="90"/>
      <c r="B58" s="90"/>
      <c r="C58" s="90"/>
      <c r="D58" s="90"/>
      <c r="E58" s="90"/>
      <c r="F58" s="90"/>
      <c r="G58" s="90"/>
      <c r="H58" s="90"/>
      <c r="I58" s="90"/>
    </row>
    <row r="59" spans="1:18" s="101" customFormat="1" ht="14.25" customHeight="1" x14ac:dyDescent="0.2">
      <c r="A59" s="90"/>
      <c r="B59" s="90"/>
      <c r="C59" s="90"/>
      <c r="D59" s="90"/>
      <c r="E59" s="90"/>
      <c r="F59" s="90"/>
      <c r="G59" s="90"/>
      <c r="H59" s="90"/>
      <c r="I59" s="90"/>
    </row>
    <row r="60" spans="1:18" s="101" customFormat="1" ht="14.25" customHeight="1" x14ac:dyDescent="0.2">
      <c r="A60" s="90"/>
      <c r="B60" s="90"/>
      <c r="C60" s="90"/>
      <c r="D60" s="90"/>
      <c r="E60" s="90"/>
      <c r="F60" s="90"/>
      <c r="G60" s="90"/>
      <c r="H60" s="90"/>
      <c r="I60" s="90"/>
    </row>
    <row r="61" spans="1:18" s="101" customFormat="1" ht="14.25" customHeight="1" x14ac:dyDescent="0.2">
      <c r="A61" s="90"/>
      <c r="B61" s="90"/>
      <c r="C61" s="90"/>
      <c r="D61" s="90"/>
      <c r="E61" s="90"/>
      <c r="F61" s="90"/>
      <c r="G61" s="90"/>
      <c r="H61" s="90"/>
      <c r="I61" s="90"/>
    </row>
    <row r="62" spans="1:18" s="101" customFormat="1" ht="14.25" customHeight="1" x14ac:dyDescent="0.2">
      <c r="A62" s="90"/>
      <c r="B62" s="90"/>
      <c r="C62" s="90"/>
      <c r="D62" s="90"/>
      <c r="E62" s="90"/>
      <c r="F62" s="90"/>
      <c r="G62" s="90"/>
      <c r="H62" s="90"/>
      <c r="I62" s="90"/>
      <c r="K62" s="112"/>
      <c r="L62" s="139"/>
      <c r="M62" s="139"/>
      <c r="N62" s="139"/>
      <c r="O62" s="139"/>
      <c r="P62" s="139"/>
      <c r="Q62" s="139"/>
      <c r="R62" s="139"/>
    </row>
    <row r="63" spans="1:18" s="101" customFormat="1" ht="14.25" customHeight="1" x14ac:dyDescent="0.2">
      <c r="A63" s="90"/>
      <c r="B63" s="90"/>
      <c r="C63" s="90"/>
      <c r="D63" s="90"/>
      <c r="E63" s="90"/>
      <c r="F63" s="90"/>
      <c r="G63" s="90"/>
      <c r="H63" s="90"/>
      <c r="I63" s="90"/>
      <c r="K63" s="112"/>
      <c r="L63" s="139"/>
      <c r="M63" s="139"/>
      <c r="N63" s="139"/>
      <c r="O63" s="139"/>
      <c r="P63" s="139"/>
      <c r="Q63" s="139"/>
      <c r="R63" s="139"/>
    </row>
    <row r="64" spans="1:18" s="101" customFormat="1" ht="14.25" customHeight="1" x14ac:dyDescent="0.2">
      <c r="A64" s="90"/>
      <c r="B64" s="90"/>
      <c r="C64" s="90"/>
      <c r="D64" s="90"/>
      <c r="E64" s="90"/>
      <c r="F64" s="90"/>
      <c r="G64" s="90"/>
      <c r="H64" s="90"/>
      <c r="I64" s="90"/>
      <c r="K64" s="112"/>
      <c r="L64" s="139"/>
      <c r="M64" s="139"/>
      <c r="N64" s="139"/>
      <c r="O64" s="139"/>
      <c r="P64" s="139"/>
      <c r="Q64" s="139"/>
      <c r="R64" s="139"/>
    </row>
    <row r="65" spans="1:18" s="101" customFormat="1" ht="14.25" customHeight="1" x14ac:dyDescent="0.2">
      <c r="A65" s="90"/>
      <c r="B65" s="90"/>
      <c r="C65" s="90"/>
      <c r="D65" s="90"/>
      <c r="E65" s="90"/>
      <c r="F65" s="90"/>
      <c r="G65" s="90"/>
      <c r="H65" s="90"/>
      <c r="I65" s="90"/>
      <c r="K65" s="112"/>
      <c r="L65" s="139"/>
      <c r="M65" s="139"/>
      <c r="N65" s="139"/>
      <c r="O65" s="139"/>
      <c r="P65" s="139"/>
      <c r="Q65" s="139"/>
      <c r="R65" s="139"/>
    </row>
    <row r="66" spans="1:18" s="101" customFormat="1" ht="14.25" customHeight="1" x14ac:dyDescent="0.2">
      <c r="A66" s="90"/>
      <c r="B66" s="90"/>
      <c r="C66" s="90"/>
      <c r="D66" s="90"/>
      <c r="E66" s="90"/>
      <c r="F66" s="90"/>
      <c r="G66" s="90"/>
      <c r="H66" s="90"/>
      <c r="I66" s="90"/>
      <c r="K66" s="112"/>
      <c r="L66" s="139"/>
      <c r="M66" s="139"/>
      <c r="N66" s="139"/>
      <c r="O66" s="139"/>
      <c r="P66" s="139"/>
      <c r="Q66" s="139"/>
      <c r="R66" s="139"/>
    </row>
    <row r="67" spans="1:18" s="101" customFormat="1" ht="14.25" customHeight="1" x14ac:dyDescent="0.2">
      <c r="A67" s="90"/>
      <c r="B67" s="90"/>
      <c r="C67" s="90"/>
      <c r="D67" s="90"/>
      <c r="E67" s="90"/>
      <c r="F67" s="90"/>
      <c r="G67" s="90"/>
      <c r="H67" s="90"/>
      <c r="I67" s="90"/>
      <c r="K67" s="112"/>
      <c r="L67" s="139"/>
      <c r="M67" s="139"/>
      <c r="N67" s="139"/>
      <c r="O67" s="139"/>
      <c r="P67" s="139"/>
      <c r="Q67" s="139"/>
      <c r="R67" s="139"/>
    </row>
    <row r="68" spans="1:18" s="101" customFormat="1" ht="14.25" customHeight="1" x14ac:dyDescent="0.2">
      <c r="A68" s="90"/>
      <c r="B68" s="90"/>
      <c r="C68" s="90"/>
      <c r="D68" s="90"/>
      <c r="E68" s="90"/>
      <c r="F68" s="90"/>
      <c r="G68" s="90"/>
      <c r="H68" s="90"/>
      <c r="I68" s="90"/>
      <c r="K68" s="112"/>
      <c r="L68" s="139"/>
      <c r="M68" s="139"/>
      <c r="N68" s="139"/>
      <c r="O68" s="139"/>
      <c r="P68" s="139"/>
      <c r="Q68" s="139"/>
      <c r="R68" s="139"/>
    </row>
    <row r="69" spans="1:18" s="101" customFormat="1" ht="14.25" customHeight="1" x14ac:dyDescent="0.2">
      <c r="A69" s="90"/>
      <c r="B69" s="90"/>
      <c r="C69" s="90"/>
      <c r="D69" s="90"/>
      <c r="E69" s="90"/>
      <c r="F69" s="90"/>
      <c r="G69" s="90"/>
      <c r="H69" s="90"/>
      <c r="I69" s="90"/>
      <c r="K69" s="112"/>
      <c r="L69" s="139"/>
      <c r="M69" s="139"/>
      <c r="N69" s="139"/>
      <c r="O69" s="139"/>
      <c r="P69" s="139"/>
      <c r="Q69" s="139"/>
      <c r="R69" s="139"/>
    </row>
    <row r="70" spans="1:18" s="101" customFormat="1" ht="14.25" customHeight="1" x14ac:dyDescent="0.2">
      <c r="A70" s="90"/>
      <c r="B70" s="90"/>
      <c r="C70" s="90"/>
      <c r="D70" s="90"/>
      <c r="E70" s="90"/>
      <c r="F70" s="90"/>
      <c r="G70" s="90"/>
      <c r="H70" s="90"/>
      <c r="I70" s="90"/>
      <c r="K70" s="112"/>
      <c r="L70" s="139"/>
      <c r="M70" s="139"/>
      <c r="N70" s="139"/>
      <c r="O70" s="139"/>
      <c r="P70" s="139"/>
      <c r="Q70" s="139"/>
      <c r="R70" s="139"/>
    </row>
    <row r="71" spans="1:18" s="101" customFormat="1" ht="14.25" customHeight="1" x14ac:dyDescent="0.2">
      <c r="A71" s="90"/>
      <c r="B71" s="90"/>
      <c r="C71" s="90"/>
      <c r="D71" s="90"/>
      <c r="E71" s="90"/>
      <c r="F71" s="90"/>
      <c r="G71" s="90"/>
      <c r="H71" s="90"/>
      <c r="I71" s="90"/>
      <c r="K71" s="112"/>
      <c r="L71" s="139"/>
      <c r="M71" s="139"/>
      <c r="N71" s="139"/>
      <c r="O71" s="139"/>
      <c r="P71" s="139"/>
      <c r="Q71" s="139"/>
      <c r="R71" s="139"/>
    </row>
    <row r="72" spans="1:18" s="101" customFormat="1" ht="14.25" customHeight="1" x14ac:dyDescent="0.2">
      <c r="A72" s="90"/>
      <c r="B72" s="90"/>
      <c r="C72" s="90"/>
      <c r="D72" s="90"/>
      <c r="E72" s="90"/>
      <c r="F72" s="90"/>
      <c r="G72" s="90"/>
      <c r="H72" s="90"/>
      <c r="I72" s="90"/>
      <c r="K72" s="112"/>
      <c r="L72" s="139"/>
      <c r="M72" s="139"/>
      <c r="N72" s="139"/>
      <c r="O72" s="139"/>
      <c r="P72" s="139"/>
      <c r="Q72" s="139"/>
      <c r="R72" s="139"/>
    </row>
    <row r="73" spans="1:18" s="101" customFormat="1" x14ac:dyDescent="0.2">
      <c r="A73" s="90"/>
      <c r="B73" s="90"/>
      <c r="C73" s="90"/>
      <c r="D73" s="90"/>
      <c r="E73" s="90"/>
      <c r="F73" s="90"/>
      <c r="G73" s="90"/>
      <c r="H73" s="90"/>
      <c r="I73" s="90"/>
      <c r="K73" s="112"/>
      <c r="L73" s="139"/>
      <c r="M73" s="139"/>
      <c r="N73" s="139"/>
      <c r="O73" s="139"/>
      <c r="P73" s="139"/>
      <c r="Q73" s="139"/>
      <c r="R73" s="139"/>
    </row>
    <row r="74" spans="1:18" s="101" customFormat="1" x14ac:dyDescent="0.2">
      <c r="A74" s="90"/>
      <c r="B74" s="90"/>
      <c r="C74" s="90"/>
      <c r="D74" s="90"/>
      <c r="E74" s="90"/>
      <c r="F74" s="90"/>
      <c r="G74" s="90"/>
      <c r="H74" s="90"/>
      <c r="I74" s="90"/>
      <c r="K74" s="112"/>
      <c r="L74" s="139"/>
      <c r="M74" s="139"/>
      <c r="N74" s="139"/>
      <c r="O74" s="139"/>
      <c r="P74" s="139"/>
      <c r="Q74" s="139"/>
      <c r="R74" s="139"/>
    </row>
    <row r="75" spans="1:18" s="101" customFormat="1" x14ac:dyDescent="0.2">
      <c r="A75" s="90"/>
      <c r="B75" s="90"/>
      <c r="C75" s="90"/>
      <c r="D75" s="90"/>
      <c r="E75" s="90"/>
      <c r="F75" s="90"/>
      <c r="G75" s="90"/>
      <c r="H75" s="90"/>
      <c r="I75" s="90"/>
      <c r="K75" s="112"/>
      <c r="L75" s="139"/>
      <c r="M75" s="139"/>
      <c r="N75" s="139"/>
      <c r="O75" s="139"/>
      <c r="P75" s="139"/>
      <c r="Q75" s="139"/>
      <c r="R75" s="139"/>
    </row>
    <row r="76" spans="1:18" s="101" customFormat="1" x14ac:dyDescent="0.2">
      <c r="A76" s="90"/>
      <c r="B76" s="90"/>
      <c r="C76" s="90"/>
      <c r="D76" s="90"/>
      <c r="E76" s="90"/>
      <c r="F76" s="90"/>
      <c r="G76" s="90"/>
      <c r="H76" s="90"/>
      <c r="I76" s="90"/>
      <c r="K76" s="112"/>
      <c r="L76" s="139"/>
      <c r="M76" s="139"/>
      <c r="N76" s="139"/>
      <c r="O76" s="139"/>
      <c r="P76" s="139"/>
      <c r="Q76" s="139"/>
      <c r="R76" s="139"/>
    </row>
    <row r="77" spans="1:18" s="101" customFormat="1" x14ac:dyDescent="0.2">
      <c r="A77" s="90"/>
      <c r="B77" s="90"/>
      <c r="C77" s="90"/>
      <c r="D77" s="90"/>
      <c r="E77" s="90"/>
      <c r="F77" s="90"/>
      <c r="G77" s="90"/>
      <c r="H77" s="90"/>
      <c r="I77" s="90"/>
      <c r="K77" s="112"/>
      <c r="L77" s="139"/>
      <c r="M77" s="139"/>
      <c r="N77" s="139"/>
      <c r="O77" s="139"/>
      <c r="P77" s="139"/>
      <c r="Q77" s="139"/>
      <c r="R77" s="139"/>
    </row>
    <row r="78" spans="1:18" s="101" customFormat="1" x14ac:dyDescent="0.2">
      <c r="A78" s="90"/>
      <c r="B78" s="90"/>
      <c r="C78" s="90"/>
      <c r="D78" s="90"/>
      <c r="E78" s="90"/>
      <c r="F78" s="90"/>
      <c r="G78" s="90"/>
      <c r="H78" s="90"/>
      <c r="I78" s="90"/>
      <c r="K78" s="112"/>
      <c r="L78" s="139"/>
      <c r="M78" s="139"/>
      <c r="N78" s="139"/>
      <c r="O78" s="139"/>
      <c r="P78" s="139"/>
      <c r="Q78" s="139"/>
      <c r="R78" s="139"/>
    </row>
    <row r="79" spans="1:18" s="101" customFormat="1" x14ac:dyDescent="0.2">
      <c r="A79" s="90"/>
      <c r="B79" s="90"/>
      <c r="C79" s="90"/>
      <c r="D79" s="90"/>
      <c r="E79" s="90"/>
      <c r="F79" s="90"/>
      <c r="G79" s="90"/>
      <c r="H79" s="90"/>
      <c r="I79" s="90"/>
      <c r="K79" s="112"/>
      <c r="L79" s="139"/>
      <c r="M79" s="139"/>
      <c r="N79" s="139"/>
      <c r="O79" s="139"/>
      <c r="P79" s="139"/>
      <c r="Q79" s="139"/>
      <c r="R79" s="139"/>
    </row>
    <row r="80" spans="1:18" s="101" customFormat="1" x14ac:dyDescent="0.2">
      <c r="A80" s="90"/>
      <c r="B80" s="90"/>
      <c r="C80" s="90"/>
      <c r="D80" s="90"/>
      <c r="E80" s="90"/>
      <c r="F80" s="90"/>
      <c r="G80" s="90"/>
      <c r="H80" s="90"/>
      <c r="I80" s="90"/>
      <c r="K80" s="112"/>
      <c r="L80" s="139"/>
      <c r="M80" s="139"/>
      <c r="N80" s="139"/>
      <c r="O80" s="139"/>
      <c r="P80" s="139"/>
      <c r="Q80" s="139"/>
      <c r="R80" s="139"/>
    </row>
    <row r="81" spans="1:18" s="101" customFormat="1" x14ac:dyDescent="0.2">
      <c r="A81" s="90"/>
      <c r="B81" s="90"/>
      <c r="C81" s="90"/>
      <c r="D81" s="90"/>
      <c r="E81" s="90"/>
      <c r="F81" s="90"/>
      <c r="G81" s="90"/>
      <c r="H81" s="90"/>
      <c r="I81" s="90"/>
      <c r="K81" s="112"/>
      <c r="L81" s="139"/>
      <c r="M81" s="139"/>
      <c r="N81" s="139"/>
      <c r="O81" s="139"/>
      <c r="P81" s="139"/>
      <c r="Q81" s="139"/>
      <c r="R81" s="139"/>
    </row>
    <row r="82" spans="1:18" s="101" customFormat="1" x14ac:dyDescent="0.2">
      <c r="A82" s="90"/>
      <c r="B82" s="90"/>
      <c r="C82" s="90"/>
      <c r="D82" s="90"/>
      <c r="E82" s="90"/>
      <c r="F82" s="90"/>
      <c r="G82" s="90"/>
      <c r="H82" s="90"/>
      <c r="I82" s="90"/>
      <c r="K82" s="112"/>
      <c r="L82" s="139"/>
      <c r="M82" s="139"/>
      <c r="N82" s="139"/>
      <c r="O82" s="139"/>
      <c r="P82" s="139"/>
      <c r="Q82" s="139"/>
      <c r="R82" s="139"/>
    </row>
    <row r="83" spans="1:18" s="101" customFormat="1" x14ac:dyDescent="0.2">
      <c r="A83" s="90"/>
      <c r="B83" s="90"/>
      <c r="C83" s="90"/>
      <c r="D83" s="90"/>
      <c r="E83" s="90"/>
      <c r="F83" s="90"/>
      <c r="G83" s="90"/>
      <c r="H83" s="90"/>
      <c r="I83" s="90"/>
      <c r="K83" s="112"/>
      <c r="L83" s="139"/>
      <c r="M83" s="139"/>
      <c r="N83" s="139"/>
      <c r="O83" s="139"/>
      <c r="P83" s="139"/>
      <c r="Q83" s="139"/>
      <c r="R83" s="139"/>
    </row>
    <row r="84" spans="1:18" s="101" customFormat="1" x14ac:dyDescent="0.2">
      <c r="A84" s="90"/>
      <c r="B84" s="90"/>
      <c r="C84" s="90"/>
      <c r="D84" s="90"/>
      <c r="E84" s="90"/>
      <c r="F84" s="90"/>
      <c r="G84" s="90"/>
      <c r="H84" s="90"/>
      <c r="I84" s="90"/>
      <c r="K84" s="112"/>
      <c r="L84" s="139"/>
      <c r="M84" s="139"/>
      <c r="N84" s="139"/>
      <c r="O84" s="139"/>
      <c r="P84" s="139"/>
      <c r="Q84" s="139"/>
      <c r="R84" s="139"/>
    </row>
    <row r="85" spans="1:18" s="101" customFormat="1" x14ac:dyDescent="0.2">
      <c r="A85" s="90"/>
      <c r="B85" s="90"/>
      <c r="C85" s="90"/>
      <c r="D85" s="90"/>
      <c r="E85" s="90"/>
      <c r="F85" s="90"/>
      <c r="G85" s="90"/>
      <c r="H85" s="90"/>
      <c r="I85" s="90"/>
      <c r="K85" s="112"/>
      <c r="L85" s="139"/>
      <c r="M85" s="139"/>
      <c r="N85" s="139"/>
      <c r="O85" s="139"/>
      <c r="P85" s="139"/>
      <c r="Q85" s="139"/>
      <c r="R85" s="139"/>
    </row>
    <row r="86" spans="1:18" s="101" customFormat="1" x14ac:dyDescent="0.2">
      <c r="A86" s="90"/>
      <c r="B86" s="90"/>
      <c r="C86" s="90"/>
      <c r="D86" s="90"/>
      <c r="E86" s="90"/>
      <c r="F86" s="90"/>
      <c r="G86" s="90"/>
      <c r="H86" s="90"/>
      <c r="I86" s="90"/>
      <c r="K86" s="112"/>
      <c r="L86" s="139"/>
      <c r="M86" s="139"/>
      <c r="N86" s="139"/>
      <c r="O86" s="139"/>
      <c r="P86" s="139"/>
      <c r="Q86" s="139"/>
      <c r="R86" s="139"/>
    </row>
    <row r="87" spans="1:18" s="101" customFormat="1" x14ac:dyDescent="0.2">
      <c r="A87" s="90"/>
      <c r="B87" s="90"/>
      <c r="C87" s="90"/>
      <c r="D87" s="90"/>
      <c r="E87" s="90"/>
      <c r="F87" s="90"/>
      <c r="G87" s="90"/>
      <c r="H87" s="90"/>
      <c r="I87" s="90"/>
      <c r="K87" s="112"/>
      <c r="L87" s="139"/>
      <c r="M87" s="139"/>
      <c r="N87" s="139"/>
      <c r="O87" s="139"/>
      <c r="P87" s="139"/>
      <c r="Q87" s="139"/>
      <c r="R87" s="139"/>
    </row>
    <row r="88" spans="1:18" s="101" customFormat="1" x14ac:dyDescent="0.2">
      <c r="A88" s="90"/>
      <c r="B88" s="90"/>
      <c r="C88" s="90"/>
      <c r="D88" s="90"/>
      <c r="E88" s="90"/>
      <c r="F88" s="90"/>
      <c r="G88" s="90"/>
      <c r="H88" s="90"/>
      <c r="I88" s="90"/>
      <c r="K88" s="112"/>
      <c r="L88" s="139"/>
      <c r="M88" s="139"/>
      <c r="N88" s="139"/>
      <c r="O88" s="139"/>
      <c r="P88" s="139"/>
      <c r="Q88" s="139"/>
      <c r="R88" s="139"/>
    </row>
    <row r="89" spans="1:18" s="101" customFormat="1" x14ac:dyDescent="0.2">
      <c r="A89" s="90"/>
      <c r="B89" s="90"/>
      <c r="C89" s="90"/>
      <c r="D89" s="90"/>
      <c r="E89" s="90"/>
      <c r="F89" s="90"/>
      <c r="G89" s="90"/>
      <c r="H89" s="90"/>
      <c r="I89" s="90"/>
      <c r="K89" s="112"/>
      <c r="L89" s="139"/>
      <c r="M89" s="139"/>
      <c r="N89" s="139"/>
      <c r="O89" s="139"/>
      <c r="P89" s="139"/>
      <c r="Q89" s="139"/>
      <c r="R89" s="139"/>
    </row>
    <row r="90" spans="1:18" s="101" customFormat="1" x14ac:dyDescent="0.2">
      <c r="A90" s="90"/>
      <c r="B90" s="90"/>
      <c r="C90" s="90"/>
      <c r="D90" s="90"/>
      <c r="E90" s="90"/>
      <c r="F90" s="90"/>
      <c r="G90" s="90"/>
      <c r="H90" s="90"/>
      <c r="I90" s="90"/>
      <c r="K90" s="112"/>
      <c r="L90" s="139"/>
      <c r="M90" s="139"/>
      <c r="N90" s="139"/>
      <c r="O90" s="139"/>
      <c r="P90" s="139"/>
      <c r="Q90" s="139"/>
      <c r="R90" s="139"/>
    </row>
    <row r="91" spans="1:18" s="101" customFormat="1" x14ac:dyDescent="0.2">
      <c r="A91" s="90"/>
      <c r="B91" s="90"/>
      <c r="C91" s="90"/>
      <c r="D91" s="90"/>
      <c r="E91" s="90"/>
      <c r="F91" s="90"/>
      <c r="G91" s="90"/>
      <c r="H91" s="90"/>
      <c r="I91" s="90"/>
      <c r="K91" s="112"/>
      <c r="L91" s="139"/>
      <c r="M91" s="139"/>
      <c r="N91" s="139"/>
      <c r="O91" s="139"/>
      <c r="P91" s="139"/>
      <c r="Q91" s="139"/>
      <c r="R91" s="139"/>
    </row>
    <row r="92" spans="1:18" s="101" customFormat="1" x14ac:dyDescent="0.2">
      <c r="A92" s="90"/>
      <c r="B92" s="90"/>
      <c r="C92" s="90"/>
      <c r="D92" s="90"/>
      <c r="E92" s="90"/>
      <c r="F92" s="90"/>
      <c r="G92" s="90"/>
      <c r="H92" s="90"/>
      <c r="I92" s="90"/>
      <c r="K92" s="112"/>
      <c r="L92" s="139"/>
      <c r="M92" s="139"/>
      <c r="N92" s="139"/>
      <c r="O92" s="139"/>
      <c r="P92" s="139"/>
      <c r="Q92" s="139"/>
      <c r="R92" s="139"/>
    </row>
    <row r="93" spans="1:18" s="101" customFormat="1" x14ac:dyDescent="0.2">
      <c r="A93" s="90"/>
      <c r="B93" s="90"/>
      <c r="C93" s="90"/>
      <c r="D93" s="90"/>
      <c r="E93" s="90"/>
      <c r="F93" s="90"/>
      <c r="G93" s="90"/>
      <c r="H93" s="90"/>
      <c r="I93" s="90"/>
      <c r="K93" s="112"/>
      <c r="L93" s="139"/>
      <c r="M93" s="139"/>
      <c r="N93" s="139"/>
      <c r="O93" s="139"/>
      <c r="P93" s="139"/>
      <c r="Q93" s="139"/>
      <c r="R93" s="139"/>
    </row>
    <row r="94" spans="1:18" s="101" customFormat="1" x14ac:dyDescent="0.2">
      <c r="A94" s="90"/>
      <c r="B94" s="90"/>
      <c r="C94" s="90"/>
      <c r="D94" s="90"/>
      <c r="E94" s="90"/>
      <c r="F94" s="90"/>
      <c r="G94" s="90"/>
      <c r="H94" s="90"/>
      <c r="I94" s="90"/>
      <c r="K94" s="112"/>
      <c r="L94" s="139"/>
      <c r="M94" s="139"/>
      <c r="N94" s="139"/>
      <c r="O94" s="139"/>
      <c r="P94" s="139"/>
      <c r="Q94" s="139"/>
      <c r="R94" s="139"/>
    </row>
    <row r="95" spans="1:18" s="101" customFormat="1" x14ac:dyDescent="0.2">
      <c r="A95" s="90"/>
      <c r="B95" s="90"/>
      <c r="C95" s="90"/>
      <c r="D95" s="90"/>
      <c r="E95" s="90"/>
      <c r="F95" s="90"/>
      <c r="G95" s="90"/>
      <c r="H95" s="90"/>
      <c r="I95" s="90"/>
      <c r="K95" s="112"/>
      <c r="L95" s="139"/>
      <c r="M95" s="139"/>
      <c r="N95" s="139"/>
      <c r="O95" s="139"/>
      <c r="P95" s="139"/>
      <c r="Q95" s="139"/>
      <c r="R95" s="139"/>
    </row>
    <row r="96" spans="1:18" s="101" customFormat="1" x14ac:dyDescent="0.2">
      <c r="A96" s="90"/>
      <c r="B96" s="90"/>
      <c r="C96" s="90"/>
      <c r="D96" s="90"/>
      <c r="E96" s="90"/>
      <c r="F96" s="90"/>
      <c r="G96" s="90"/>
      <c r="H96" s="90"/>
      <c r="I96" s="90"/>
      <c r="K96" s="112"/>
      <c r="L96" s="139"/>
      <c r="M96" s="139"/>
      <c r="N96" s="139"/>
      <c r="O96" s="139"/>
      <c r="P96" s="139"/>
      <c r="Q96" s="139"/>
      <c r="R96" s="139"/>
    </row>
    <row r="97" spans="1:18" s="101" customFormat="1" x14ac:dyDescent="0.2">
      <c r="A97" s="90"/>
      <c r="B97" s="90"/>
      <c r="C97" s="90"/>
      <c r="D97" s="90"/>
      <c r="E97" s="90"/>
      <c r="F97" s="90"/>
      <c r="G97" s="90"/>
      <c r="H97" s="90"/>
      <c r="I97" s="90"/>
      <c r="K97" s="112"/>
      <c r="L97" s="139"/>
      <c r="M97" s="139"/>
      <c r="N97" s="139"/>
      <c r="O97" s="139"/>
      <c r="P97" s="139"/>
      <c r="Q97" s="139"/>
      <c r="R97" s="139"/>
    </row>
    <row r="98" spans="1:18" s="101" customFormat="1" x14ac:dyDescent="0.2">
      <c r="A98" s="90"/>
      <c r="B98" s="90"/>
      <c r="C98" s="90"/>
      <c r="D98" s="90"/>
      <c r="E98" s="90"/>
      <c r="F98" s="90"/>
      <c r="G98" s="90"/>
      <c r="H98" s="90"/>
      <c r="I98" s="90"/>
      <c r="K98" s="112"/>
      <c r="L98" s="139"/>
      <c r="M98" s="139"/>
      <c r="N98" s="139"/>
      <c r="O98" s="139"/>
      <c r="P98" s="139"/>
      <c r="Q98" s="139"/>
      <c r="R98" s="139"/>
    </row>
    <row r="99" spans="1:18" s="101" customFormat="1" x14ac:dyDescent="0.2">
      <c r="A99" s="90"/>
      <c r="B99" s="90"/>
      <c r="C99" s="90"/>
      <c r="D99" s="90"/>
      <c r="E99" s="90"/>
      <c r="F99" s="90"/>
      <c r="G99" s="90"/>
      <c r="H99" s="90"/>
      <c r="I99" s="90"/>
      <c r="K99" s="112"/>
      <c r="L99" s="139"/>
      <c r="M99" s="139"/>
      <c r="N99" s="139"/>
      <c r="O99" s="139"/>
      <c r="P99" s="139"/>
      <c r="Q99" s="139"/>
      <c r="R99" s="139"/>
    </row>
    <row r="100" spans="1:18" s="101" customFormat="1" x14ac:dyDescent="0.2">
      <c r="A100" s="90"/>
      <c r="B100" s="90"/>
      <c r="C100" s="90"/>
      <c r="D100" s="90"/>
      <c r="E100" s="90"/>
      <c r="F100" s="90"/>
      <c r="G100" s="90"/>
      <c r="H100" s="90"/>
      <c r="I100" s="90"/>
      <c r="K100" s="112"/>
      <c r="L100" s="139"/>
      <c r="M100" s="139"/>
      <c r="N100" s="139"/>
      <c r="O100" s="139"/>
      <c r="P100" s="139"/>
      <c r="Q100" s="139"/>
      <c r="R100" s="139"/>
    </row>
    <row r="101" spans="1:18" s="101" customFormat="1" x14ac:dyDescent="0.2">
      <c r="A101" s="90"/>
      <c r="B101" s="90"/>
      <c r="C101" s="90"/>
      <c r="D101" s="90"/>
      <c r="E101" s="90"/>
      <c r="F101" s="90"/>
      <c r="G101" s="90"/>
      <c r="H101" s="90"/>
      <c r="I101" s="90"/>
      <c r="K101" s="112"/>
      <c r="L101" s="139"/>
      <c r="M101" s="139"/>
      <c r="N101" s="139"/>
      <c r="O101" s="139"/>
      <c r="P101" s="139"/>
      <c r="Q101" s="139"/>
      <c r="R101" s="139"/>
    </row>
    <row r="102" spans="1:18" s="101" customFormat="1" x14ac:dyDescent="0.2">
      <c r="A102" s="90"/>
      <c r="B102" s="90"/>
      <c r="C102" s="90"/>
      <c r="D102" s="90"/>
      <c r="E102" s="90"/>
      <c r="F102" s="90"/>
      <c r="G102" s="90"/>
      <c r="H102" s="90"/>
      <c r="I102" s="90"/>
      <c r="K102" s="112"/>
      <c r="L102" s="139"/>
      <c r="M102" s="139"/>
      <c r="N102" s="139"/>
      <c r="O102" s="139"/>
      <c r="P102" s="139"/>
      <c r="Q102" s="139"/>
      <c r="R102" s="139"/>
    </row>
    <row r="103" spans="1:18" s="101" customFormat="1" x14ac:dyDescent="0.2">
      <c r="A103" s="90"/>
      <c r="B103" s="90"/>
      <c r="C103" s="90"/>
      <c r="D103" s="90"/>
      <c r="E103" s="90"/>
      <c r="F103" s="90"/>
      <c r="G103" s="90"/>
      <c r="H103" s="90"/>
      <c r="I103" s="90"/>
      <c r="K103" s="112"/>
      <c r="L103" s="139"/>
      <c r="M103" s="139"/>
      <c r="N103" s="139"/>
      <c r="O103" s="139"/>
      <c r="P103" s="139"/>
      <c r="Q103" s="139"/>
      <c r="R103" s="139"/>
    </row>
    <row r="104" spans="1:18" s="101" customFormat="1" x14ac:dyDescent="0.2">
      <c r="A104" s="90"/>
      <c r="B104" s="90"/>
      <c r="C104" s="90"/>
      <c r="D104" s="90"/>
      <c r="E104" s="90"/>
      <c r="F104" s="90"/>
      <c r="G104" s="90"/>
      <c r="H104" s="90"/>
      <c r="I104" s="90"/>
      <c r="K104" s="112"/>
      <c r="L104" s="139"/>
      <c r="M104" s="139"/>
      <c r="N104" s="139"/>
      <c r="O104" s="139"/>
      <c r="P104" s="139"/>
      <c r="Q104" s="139"/>
      <c r="R104" s="139"/>
    </row>
    <row r="105" spans="1:18" s="101" customFormat="1" x14ac:dyDescent="0.2">
      <c r="A105" s="90"/>
      <c r="B105" s="90"/>
      <c r="C105" s="90"/>
      <c r="D105" s="90"/>
      <c r="E105" s="90"/>
      <c r="F105" s="90"/>
      <c r="G105" s="90"/>
      <c r="H105" s="90"/>
      <c r="I105" s="90"/>
      <c r="K105" s="112"/>
      <c r="L105" s="139"/>
      <c r="M105" s="139"/>
      <c r="N105" s="139"/>
      <c r="O105" s="139"/>
      <c r="P105" s="139"/>
      <c r="Q105" s="139"/>
      <c r="R105" s="139"/>
    </row>
    <row r="106" spans="1:18" s="101" customFormat="1" x14ac:dyDescent="0.2">
      <c r="A106" s="90"/>
      <c r="B106" s="90"/>
      <c r="C106" s="90"/>
      <c r="D106" s="90"/>
      <c r="E106" s="90"/>
      <c r="F106" s="90"/>
      <c r="G106" s="90"/>
      <c r="H106" s="90"/>
      <c r="I106" s="90"/>
      <c r="K106" s="112"/>
      <c r="L106" s="139"/>
      <c r="M106" s="139"/>
      <c r="N106" s="139"/>
      <c r="O106" s="139"/>
      <c r="P106" s="139"/>
      <c r="Q106" s="139"/>
      <c r="R106" s="139"/>
    </row>
    <row r="107" spans="1:18" s="101" customFormat="1" x14ac:dyDescent="0.2">
      <c r="A107" s="90"/>
      <c r="B107" s="90"/>
      <c r="C107" s="90"/>
      <c r="D107" s="90"/>
      <c r="E107" s="90"/>
      <c r="F107" s="90"/>
      <c r="G107" s="90"/>
      <c r="H107" s="90"/>
      <c r="I107" s="90"/>
      <c r="K107" s="112"/>
      <c r="L107" s="139"/>
      <c r="M107" s="139"/>
      <c r="N107" s="139"/>
      <c r="O107" s="139"/>
      <c r="P107" s="139"/>
      <c r="Q107" s="139"/>
      <c r="R107" s="139"/>
    </row>
    <row r="108" spans="1:18" s="101" customFormat="1" x14ac:dyDescent="0.2">
      <c r="A108" s="90"/>
      <c r="B108" s="90"/>
      <c r="C108" s="90"/>
      <c r="D108" s="90"/>
      <c r="E108" s="90"/>
      <c r="F108" s="90"/>
      <c r="G108" s="90"/>
      <c r="H108" s="90"/>
      <c r="I108" s="90"/>
      <c r="K108" s="112"/>
      <c r="L108" s="139"/>
      <c r="M108" s="139"/>
      <c r="N108" s="139"/>
      <c r="O108" s="139"/>
      <c r="P108" s="139"/>
      <c r="Q108" s="139"/>
      <c r="R108" s="139"/>
    </row>
    <row r="109" spans="1:18" s="101" customFormat="1" x14ac:dyDescent="0.2">
      <c r="A109" s="90"/>
      <c r="B109" s="90"/>
      <c r="C109" s="90"/>
      <c r="D109" s="90"/>
      <c r="E109" s="90"/>
      <c r="F109" s="90"/>
      <c r="G109" s="90"/>
      <c r="H109" s="90"/>
      <c r="I109" s="90"/>
      <c r="K109" s="112"/>
      <c r="L109" s="139"/>
      <c r="M109" s="139"/>
      <c r="N109" s="139"/>
      <c r="O109" s="139"/>
      <c r="P109" s="139"/>
      <c r="Q109" s="139"/>
      <c r="R109" s="139"/>
    </row>
    <row r="110" spans="1:18" s="101" customFormat="1" x14ac:dyDescent="0.2">
      <c r="A110" s="90"/>
      <c r="B110" s="90"/>
      <c r="C110" s="90"/>
      <c r="D110" s="90"/>
      <c r="E110" s="90"/>
      <c r="F110" s="90"/>
      <c r="G110" s="90"/>
      <c r="H110" s="90"/>
      <c r="I110" s="90"/>
      <c r="K110" s="112"/>
      <c r="L110" s="139"/>
      <c r="M110" s="139"/>
      <c r="N110" s="139"/>
      <c r="O110" s="139"/>
      <c r="P110" s="139"/>
      <c r="Q110" s="139"/>
      <c r="R110" s="139"/>
    </row>
    <row r="111" spans="1:18" s="101" customFormat="1" x14ac:dyDescent="0.2">
      <c r="A111" s="90"/>
      <c r="B111" s="90"/>
      <c r="C111" s="90"/>
      <c r="D111" s="90"/>
      <c r="E111" s="90"/>
      <c r="F111" s="90"/>
      <c r="G111" s="90"/>
      <c r="H111" s="90"/>
      <c r="I111" s="90"/>
      <c r="K111" s="112"/>
      <c r="L111" s="139"/>
      <c r="M111" s="139"/>
      <c r="N111" s="139"/>
      <c r="O111" s="139"/>
      <c r="P111" s="139"/>
      <c r="Q111" s="139"/>
      <c r="R111" s="139"/>
    </row>
    <row r="112" spans="1:18" s="101" customFormat="1" x14ac:dyDescent="0.2">
      <c r="A112" s="90"/>
      <c r="B112" s="90"/>
      <c r="C112" s="90"/>
      <c r="D112" s="90"/>
      <c r="E112" s="90"/>
      <c r="F112" s="90"/>
      <c r="G112" s="90"/>
      <c r="H112" s="90"/>
      <c r="I112" s="90"/>
      <c r="K112" s="112"/>
      <c r="L112" s="139"/>
      <c r="M112" s="139"/>
      <c r="N112" s="139"/>
      <c r="O112" s="139"/>
      <c r="P112" s="139"/>
      <c r="Q112" s="139"/>
      <c r="R112" s="139"/>
    </row>
    <row r="113" spans="1:18" s="101" customFormat="1" x14ac:dyDescent="0.2">
      <c r="A113" s="90"/>
      <c r="B113" s="90"/>
      <c r="C113" s="90"/>
      <c r="D113" s="90"/>
      <c r="E113" s="90"/>
      <c r="F113" s="90"/>
      <c r="G113" s="90"/>
      <c r="H113" s="90"/>
      <c r="I113" s="90"/>
      <c r="K113" s="112"/>
      <c r="L113" s="139"/>
      <c r="M113" s="139"/>
      <c r="N113" s="139"/>
      <c r="O113" s="139"/>
      <c r="P113" s="139"/>
      <c r="Q113" s="139"/>
      <c r="R113" s="139"/>
    </row>
    <row r="114" spans="1:18" s="101" customFormat="1" x14ac:dyDescent="0.2">
      <c r="A114" s="90"/>
      <c r="B114" s="90"/>
      <c r="C114" s="90"/>
      <c r="D114" s="90"/>
      <c r="E114" s="90"/>
      <c r="F114" s="90"/>
      <c r="G114" s="90"/>
      <c r="H114" s="90"/>
      <c r="I114" s="90"/>
      <c r="K114" s="112"/>
      <c r="L114" s="139"/>
      <c r="M114" s="139"/>
      <c r="N114" s="139"/>
      <c r="O114" s="139"/>
      <c r="P114" s="139"/>
      <c r="Q114" s="139"/>
      <c r="R114" s="139"/>
    </row>
    <row r="115" spans="1:18" s="101" customFormat="1" x14ac:dyDescent="0.2">
      <c r="A115" s="90"/>
      <c r="B115" s="90"/>
      <c r="C115" s="90"/>
      <c r="D115" s="90"/>
      <c r="E115" s="90"/>
      <c r="F115" s="90"/>
      <c r="G115" s="90"/>
      <c r="H115" s="90"/>
      <c r="I115" s="90"/>
      <c r="K115" s="112"/>
      <c r="L115" s="139"/>
      <c r="M115" s="139"/>
      <c r="N115" s="139"/>
      <c r="O115" s="139"/>
      <c r="P115" s="139"/>
      <c r="Q115" s="139"/>
      <c r="R115" s="139"/>
    </row>
    <row r="116" spans="1:18" s="101" customFormat="1" x14ac:dyDescent="0.2">
      <c r="A116" s="90"/>
      <c r="B116" s="90"/>
      <c r="C116" s="90"/>
      <c r="D116" s="90"/>
      <c r="E116" s="90"/>
      <c r="F116" s="90"/>
      <c r="G116" s="90"/>
      <c r="H116" s="90"/>
      <c r="I116" s="90"/>
      <c r="K116" s="112"/>
      <c r="L116" s="139"/>
      <c r="M116" s="139"/>
      <c r="N116" s="139"/>
      <c r="O116" s="139"/>
      <c r="P116" s="139"/>
      <c r="Q116" s="139"/>
      <c r="R116" s="139"/>
    </row>
    <row r="117" spans="1:18" s="101" customFormat="1" x14ac:dyDescent="0.2">
      <c r="A117" s="90"/>
      <c r="B117" s="90"/>
      <c r="C117" s="90"/>
      <c r="D117" s="90"/>
      <c r="E117" s="90"/>
      <c r="F117" s="90"/>
      <c r="G117" s="90"/>
      <c r="H117" s="90"/>
      <c r="I117" s="90"/>
      <c r="K117" s="112"/>
      <c r="L117" s="139"/>
      <c r="M117" s="139"/>
      <c r="N117" s="139"/>
      <c r="O117" s="139"/>
      <c r="P117" s="139"/>
      <c r="Q117" s="139"/>
      <c r="R117" s="139"/>
    </row>
    <row r="118" spans="1:18" s="101" customFormat="1" x14ac:dyDescent="0.2">
      <c r="A118" s="90"/>
      <c r="B118" s="90"/>
      <c r="C118" s="90"/>
      <c r="D118" s="90"/>
      <c r="E118" s="90"/>
      <c r="F118" s="90"/>
      <c r="G118" s="90"/>
      <c r="H118" s="90"/>
      <c r="I118" s="90"/>
      <c r="K118" s="112"/>
      <c r="L118" s="139"/>
      <c r="M118" s="139"/>
      <c r="N118" s="139"/>
      <c r="O118" s="139"/>
      <c r="P118" s="139"/>
      <c r="Q118" s="139"/>
      <c r="R118" s="139"/>
    </row>
    <row r="119" spans="1:18" s="101" customFormat="1" x14ac:dyDescent="0.2">
      <c r="A119" s="90"/>
      <c r="B119" s="90"/>
      <c r="C119" s="90"/>
      <c r="D119" s="90"/>
      <c r="E119" s="90"/>
      <c r="F119" s="90"/>
      <c r="G119" s="90"/>
      <c r="H119" s="90"/>
      <c r="I119" s="90"/>
      <c r="K119" s="112"/>
      <c r="L119" s="139"/>
      <c r="M119" s="139"/>
      <c r="N119" s="139"/>
      <c r="O119" s="139"/>
      <c r="P119" s="139"/>
      <c r="Q119" s="139"/>
      <c r="R119" s="139"/>
    </row>
    <row r="120" spans="1:18" s="101" customFormat="1" x14ac:dyDescent="0.2">
      <c r="A120" s="90"/>
      <c r="B120" s="90"/>
      <c r="C120" s="90"/>
      <c r="D120" s="90"/>
      <c r="E120" s="90"/>
      <c r="F120" s="90"/>
      <c r="G120" s="90"/>
      <c r="H120" s="90"/>
      <c r="I120" s="90"/>
      <c r="K120" s="112"/>
      <c r="L120" s="139"/>
      <c r="M120" s="139"/>
      <c r="N120" s="139"/>
      <c r="O120" s="139"/>
      <c r="P120" s="139"/>
      <c r="Q120" s="139"/>
      <c r="R120" s="139"/>
    </row>
    <row r="121" spans="1:18" s="101" customFormat="1" x14ac:dyDescent="0.2">
      <c r="A121" s="90"/>
      <c r="B121" s="90"/>
      <c r="C121" s="90"/>
      <c r="D121" s="90"/>
      <c r="E121" s="90"/>
      <c r="F121" s="90"/>
      <c r="G121" s="90"/>
      <c r="H121" s="90"/>
      <c r="I121" s="90"/>
      <c r="K121" s="112"/>
      <c r="L121" s="139"/>
      <c r="M121" s="139"/>
      <c r="N121" s="139"/>
      <c r="O121" s="139"/>
      <c r="P121" s="139"/>
      <c r="Q121" s="139"/>
      <c r="R121" s="139"/>
    </row>
    <row r="122" spans="1:18" s="101" customFormat="1" x14ac:dyDescent="0.2">
      <c r="A122" s="90"/>
      <c r="B122" s="90"/>
      <c r="C122" s="90"/>
      <c r="D122" s="90"/>
      <c r="E122" s="90"/>
      <c r="F122" s="90"/>
      <c r="G122" s="90"/>
      <c r="H122" s="90"/>
      <c r="I122" s="90"/>
      <c r="K122" s="112"/>
      <c r="L122" s="139"/>
      <c r="M122" s="139"/>
      <c r="N122" s="139"/>
      <c r="O122" s="139"/>
      <c r="P122" s="139"/>
      <c r="Q122" s="139"/>
      <c r="R122" s="139"/>
    </row>
    <row r="123" spans="1:18" s="101" customFormat="1" x14ac:dyDescent="0.2">
      <c r="A123" s="90"/>
      <c r="B123" s="90"/>
      <c r="C123" s="90"/>
      <c r="D123" s="90"/>
      <c r="E123" s="90"/>
      <c r="F123" s="90"/>
      <c r="G123" s="90"/>
      <c r="H123" s="90"/>
      <c r="I123" s="90"/>
      <c r="K123" s="112"/>
      <c r="L123" s="139"/>
      <c r="M123" s="139"/>
      <c r="N123" s="139"/>
      <c r="O123" s="139"/>
      <c r="P123" s="139"/>
      <c r="Q123" s="139"/>
      <c r="R123" s="139"/>
    </row>
    <row r="124" spans="1:18" s="101" customFormat="1" x14ac:dyDescent="0.2">
      <c r="A124" s="90"/>
      <c r="B124" s="90"/>
      <c r="C124" s="90"/>
      <c r="D124" s="90"/>
      <c r="E124" s="90"/>
      <c r="F124" s="90"/>
      <c r="G124" s="90"/>
      <c r="H124" s="90"/>
      <c r="I124" s="90"/>
      <c r="K124" s="112"/>
      <c r="L124" s="139"/>
      <c r="M124" s="139"/>
      <c r="N124" s="139"/>
      <c r="O124" s="139"/>
      <c r="P124" s="139"/>
      <c r="Q124" s="139"/>
      <c r="R124" s="139"/>
    </row>
    <row r="125" spans="1:18" s="101" customFormat="1" x14ac:dyDescent="0.2">
      <c r="A125" s="90"/>
      <c r="B125" s="90"/>
      <c r="C125" s="90"/>
      <c r="D125" s="90"/>
      <c r="E125" s="90"/>
      <c r="F125" s="90"/>
      <c r="G125" s="90"/>
      <c r="H125" s="90"/>
      <c r="I125" s="90"/>
      <c r="K125" s="112"/>
      <c r="L125" s="139"/>
      <c r="M125" s="139"/>
      <c r="N125" s="139"/>
      <c r="O125" s="139"/>
      <c r="P125" s="139"/>
      <c r="Q125" s="139"/>
      <c r="R125" s="139"/>
    </row>
    <row r="126" spans="1:18" s="101" customFormat="1" x14ac:dyDescent="0.2">
      <c r="A126" s="90"/>
      <c r="B126" s="90"/>
      <c r="C126" s="90"/>
      <c r="D126" s="90"/>
      <c r="E126" s="90"/>
      <c r="F126" s="90"/>
      <c r="G126" s="90"/>
      <c r="H126" s="90"/>
      <c r="I126" s="90"/>
      <c r="K126" s="112"/>
      <c r="L126" s="139"/>
      <c r="M126" s="139"/>
      <c r="N126" s="139"/>
      <c r="O126" s="139"/>
      <c r="P126" s="139"/>
      <c r="Q126" s="139"/>
      <c r="R126" s="139"/>
    </row>
    <row r="127" spans="1:18" s="101" customFormat="1" x14ac:dyDescent="0.2">
      <c r="A127" s="90"/>
      <c r="B127" s="90"/>
      <c r="C127" s="90"/>
      <c r="D127" s="90"/>
      <c r="E127" s="90"/>
      <c r="F127" s="90"/>
      <c r="G127" s="90"/>
      <c r="H127" s="90"/>
      <c r="I127" s="90"/>
      <c r="K127" s="112"/>
      <c r="L127" s="139"/>
      <c r="M127" s="139"/>
      <c r="N127" s="139"/>
      <c r="O127" s="139"/>
      <c r="P127" s="139"/>
      <c r="Q127" s="139"/>
      <c r="R127" s="139"/>
    </row>
    <row r="128" spans="1:18" s="101" customFormat="1" x14ac:dyDescent="0.2">
      <c r="A128" s="90"/>
      <c r="B128" s="90"/>
      <c r="C128" s="90"/>
      <c r="D128" s="90"/>
      <c r="E128" s="90"/>
      <c r="F128" s="90"/>
      <c r="G128" s="90"/>
      <c r="H128" s="90"/>
      <c r="I128" s="90"/>
      <c r="K128" s="112"/>
      <c r="L128" s="139"/>
      <c r="M128" s="139"/>
      <c r="N128" s="139"/>
      <c r="O128" s="139"/>
      <c r="P128" s="139"/>
      <c r="Q128" s="139"/>
      <c r="R128" s="139"/>
    </row>
    <row r="129" spans="1:18" s="101" customFormat="1" x14ac:dyDescent="0.2">
      <c r="A129" s="90"/>
      <c r="B129" s="90"/>
      <c r="C129" s="90"/>
      <c r="D129" s="90"/>
      <c r="E129" s="90"/>
      <c r="F129" s="90"/>
      <c r="G129" s="90"/>
      <c r="H129" s="90"/>
      <c r="I129" s="90"/>
      <c r="K129" s="112"/>
      <c r="L129" s="139"/>
      <c r="M129" s="139"/>
      <c r="N129" s="139"/>
      <c r="O129" s="139"/>
      <c r="P129" s="139"/>
      <c r="Q129" s="139"/>
      <c r="R129" s="139"/>
    </row>
    <row r="130" spans="1:18" s="101" customFormat="1" x14ac:dyDescent="0.2">
      <c r="A130" s="90"/>
      <c r="B130" s="90"/>
      <c r="C130" s="90"/>
      <c r="D130" s="90"/>
      <c r="E130" s="90"/>
      <c r="F130" s="90"/>
      <c r="G130" s="90"/>
      <c r="H130" s="90"/>
      <c r="I130" s="90"/>
      <c r="K130" s="112"/>
      <c r="L130" s="139"/>
      <c r="M130" s="139"/>
      <c r="N130" s="139"/>
      <c r="O130" s="139"/>
      <c r="P130" s="139"/>
      <c r="Q130" s="139"/>
      <c r="R130" s="139"/>
    </row>
    <row r="131" spans="1:18" s="101" customFormat="1" x14ac:dyDescent="0.2">
      <c r="A131" s="90"/>
      <c r="B131" s="90"/>
      <c r="C131" s="90"/>
      <c r="D131" s="90"/>
      <c r="E131" s="90"/>
      <c r="F131" s="90"/>
      <c r="G131" s="90"/>
      <c r="H131" s="90"/>
      <c r="I131" s="90"/>
      <c r="K131" s="112"/>
      <c r="L131" s="139"/>
      <c r="M131" s="139"/>
      <c r="N131" s="139"/>
      <c r="O131" s="139"/>
      <c r="P131" s="139"/>
      <c r="Q131" s="139"/>
      <c r="R131" s="139"/>
    </row>
    <row r="132" spans="1:18" s="101" customFormat="1" x14ac:dyDescent="0.2">
      <c r="A132" s="90"/>
      <c r="B132" s="90"/>
      <c r="C132" s="90"/>
      <c r="D132" s="90"/>
      <c r="E132" s="90"/>
      <c r="F132" s="90"/>
      <c r="G132" s="90"/>
      <c r="H132" s="90"/>
      <c r="I132" s="90"/>
      <c r="K132" s="112"/>
      <c r="L132" s="139"/>
      <c r="M132" s="139"/>
      <c r="N132" s="139"/>
      <c r="O132" s="139"/>
      <c r="P132" s="139"/>
      <c r="Q132" s="139"/>
      <c r="R132" s="139"/>
    </row>
    <row r="133" spans="1:18" s="101" customFormat="1" x14ac:dyDescent="0.2">
      <c r="A133" s="90"/>
      <c r="B133" s="90"/>
      <c r="C133" s="90"/>
      <c r="D133" s="90"/>
      <c r="E133" s="90"/>
      <c r="F133" s="90"/>
      <c r="G133" s="90"/>
      <c r="H133" s="90"/>
      <c r="I133" s="90"/>
      <c r="K133" s="112"/>
      <c r="L133" s="139"/>
      <c r="M133" s="139"/>
      <c r="N133" s="139"/>
      <c r="O133" s="139"/>
      <c r="P133" s="139"/>
      <c r="Q133" s="139"/>
      <c r="R133" s="139"/>
    </row>
    <row r="134" spans="1:18" s="101" customFormat="1" x14ac:dyDescent="0.2">
      <c r="A134" s="90"/>
      <c r="B134" s="90"/>
      <c r="C134" s="90"/>
      <c r="D134" s="90"/>
      <c r="E134" s="90"/>
      <c r="F134" s="90"/>
      <c r="G134" s="90"/>
      <c r="H134" s="90"/>
      <c r="I134" s="90"/>
      <c r="K134" s="112"/>
      <c r="L134" s="139"/>
      <c r="M134" s="139"/>
      <c r="N134" s="139"/>
      <c r="O134" s="139"/>
      <c r="P134" s="139"/>
      <c r="Q134" s="139"/>
      <c r="R134" s="139"/>
    </row>
    <row r="135" spans="1:18" s="101" customFormat="1" x14ac:dyDescent="0.2">
      <c r="A135" s="90"/>
      <c r="B135" s="90"/>
      <c r="C135" s="90"/>
      <c r="D135" s="90"/>
      <c r="E135" s="90"/>
      <c r="F135" s="90"/>
      <c r="G135" s="90"/>
      <c r="H135" s="90"/>
      <c r="I135" s="90"/>
      <c r="K135" s="112"/>
      <c r="L135" s="139"/>
      <c r="M135" s="139"/>
      <c r="N135" s="139"/>
      <c r="O135" s="139"/>
      <c r="P135" s="139"/>
      <c r="Q135" s="139"/>
      <c r="R135" s="139"/>
    </row>
    <row r="136" spans="1:18" s="101" customFormat="1" x14ac:dyDescent="0.2">
      <c r="A136" s="90"/>
      <c r="B136" s="90"/>
      <c r="C136" s="90"/>
      <c r="D136" s="90"/>
      <c r="E136" s="90"/>
      <c r="F136" s="90"/>
      <c r="G136" s="90"/>
      <c r="H136" s="90"/>
      <c r="I136" s="90"/>
      <c r="K136" s="112"/>
      <c r="L136" s="139"/>
      <c r="M136" s="139"/>
      <c r="N136" s="139"/>
      <c r="O136" s="139"/>
      <c r="P136" s="139"/>
      <c r="Q136" s="139"/>
      <c r="R136" s="139"/>
    </row>
    <row r="137" spans="1:18" s="101" customFormat="1" x14ac:dyDescent="0.2">
      <c r="A137" s="90"/>
      <c r="B137" s="90"/>
      <c r="C137" s="90"/>
      <c r="D137" s="90"/>
      <c r="E137" s="90"/>
      <c r="F137" s="90"/>
      <c r="G137" s="90"/>
      <c r="H137" s="90"/>
      <c r="I137" s="90"/>
      <c r="K137" s="112"/>
      <c r="L137" s="139"/>
      <c r="M137" s="139"/>
      <c r="N137" s="139"/>
      <c r="O137" s="139"/>
      <c r="P137" s="139"/>
      <c r="Q137" s="139"/>
      <c r="R137" s="139"/>
    </row>
    <row r="138" spans="1:18" s="101" customFormat="1" x14ac:dyDescent="0.2">
      <c r="A138" s="90"/>
      <c r="B138" s="90"/>
      <c r="C138" s="90"/>
      <c r="D138" s="90"/>
      <c r="E138" s="90"/>
      <c r="F138" s="90"/>
      <c r="G138" s="90"/>
      <c r="H138" s="90"/>
      <c r="I138" s="90"/>
      <c r="K138" s="112"/>
      <c r="L138" s="139"/>
      <c r="M138" s="139"/>
      <c r="N138" s="139"/>
      <c r="O138" s="139"/>
      <c r="P138" s="139"/>
      <c r="Q138" s="139"/>
      <c r="R138" s="139"/>
    </row>
    <row r="139" spans="1:18" s="101" customFormat="1" x14ac:dyDescent="0.2">
      <c r="A139" s="90"/>
      <c r="B139" s="90"/>
      <c r="C139" s="90"/>
      <c r="D139" s="90"/>
      <c r="E139" s="90"/>
      <c r="F139" s="90"/>
      <c r="G139" s="90"/>
      <c r="H139" s="90"/>
      <c r="I139" s="90"/>
      <c r="K139" s="112"/>
      <c r="L139" s="139"/>
      <c r="M139" s="139"/>
      <c r="N139" s="139"/>
      <c r="O139" s="139"/>
      <c r="P139" s="139"/>
      <c r="Q139" s="139"/>
      <c r="R139" s="139"/>
    </row>
    <row r="140" spans="1:18" s="101" customFormat="1" x14ac:dyDescent="0.2">
      <c r="A140" s="90"/>
      <c r="B140" s="90"/>
      <c r="C140" s="90"/>
      <c r="D140" s="90"/>
      <c r="E140" s="90"/>
      <c r="F140" s="90"/>
      <c r="G140" s="90"/>
      <c r="H140" s="90"/>
      <c r="I140" s="90"/>
      <c r="K140" s="112"/>
      <c r="L140" s="139"/>
      <c r="M140" s="139"/>
      <c r="N140" s="139"/>
      <c r="O140" s="139"/>
      <c r="P140" s="139"/>
      <c r="Q140" s="139"/>
      <c r="R140" s="139"/>
    </row>
    <row r="141" spans="1:18" s="101" customFormat="1" x14ac:dyDescent="0.2">
      <c r="A141" s="90"/>
      <c r="B141" s="90"/>
      <c r="C141" s="90"/>
      <c r="D141" s="90"/>
      <c r="E141" s="90"/>
      <c r="F141" s="90"/>
      <c r="G141" s="90"/>
      <c r="H141" s="90"/>
      <c r="I141" s="90"/>
      <c r="K141" s="112"/>
      <c r="L141" s="139"/>
      <c r="M141" s="139"/>
      <c r="N141" s="139"/>
      <c r="O141" s="139"/>
      <c r="P141" s="139"/>
      <c r="Q141" s="139"/>
      <c r="R141" s="139"/>
    </row>
    <row r="142" spans="1:18" s="101" customFormat="1" x14ac:dyDescent="0.2">
      <c r="A142" s="90"/>
      <c r="B142" s="90"/>
      <c r="C142" s="90"/>
      <c r="D142" s="90"/>
      <c r="E142" s="90"/>
      <c r="F142" s="90"/>
      <c r="G142" s="90"/>
      <c r="H142" s="90"/>
      <c r="I142" s="90"/>
      <c r="K142" s="112"/>
      <c r="L142" s="139"/>
      <c r="M142" s="139"/>
      <c r="N142" s="139"/>
      <c r="O142" s="139"/>
      <c r="P142" s="139"/>
      <c r="Q142" s="139"/>
      <c r="R142" s="139"/>
    </row>
    <row r="143" spans="1:18" s="101" customFormat="1" x14ac:dyDescent="0.2">
      <c r="A143" s="90"/>
      <c r="B143" s="90"/>
      <c r="C143" s="90"/>
      <c r="D143" s="90"/>
      <c r="E143" s="90"/>
      <c r="F143" s="90"/>
      <c r="G143" s="90"/>
      <c r="H143" s="90"/>
      <c r="I143" s="90"/>
      <c r="K143" s="112"/>
      <c r="L143" s="139"/>
      <c r="M143" s="139"/>
      <c r="N143" s="139"/>
      <c r="O143" s="139"/>
      <c r="P143" s="139"/>
      <c r="Q143" s="139"/>
      <c r="R143" s="139"/>
    </row>
    <row r="144" spans="1:18" s="101" customFormat="1" x14ac:dyDescent="0.2">
      <c r="A144" s="90"/>
      <c r="B144" s="90"/>
      <c r="C144" s="90"/>
      <c r="D144" s="90"/>
      <c r="E144" s="90"/>
      <c r="F144" s="90"/>
      <c r="G144" s="90"/>
      <c r="H144" s="90"/>
      <c r="I144" s="90"/>
      <c r="K144" s="112"/>
      <c r="L144" s="139"/>
      <c r="M144" s="139"/>
      <c r="N144" s="139"/>
      <c r="O144" s="139"/>
      <c r="P144" s="139"/>
      <c r="Q144" s="139"/>
      <c r="R144" s="139"/>
    </row>
    <row r="145" spans="1:18" s="101" customFormat="1" x14ac:dyDescent="0.2">
      <c r="A145" s="90"/>
      <c r="B145" s="90"/>
      <c r="C145" s="90"/>
      <c r="D145" s="90"/>
      <c r="E145" s="90"/>
      <c r="F145" s="90"/>
      <c r="G145" s="90"/>
      <c r="H145" s="90"/>
      <c r="I145" s="90"/>
      <c r="K145" s="112"/>
      <c r="L145" s="139"/>
      <c r="M145" s="139"/>
      <c r="N145" s="139"/>
      <c r="O145" s="139"/>
      <c r="P145" s="139"/>
      <c r="Q145" s="139"/>
      <c r="R145" s="139"/>
    </row>
    <row r="146" spans="1:18" s="101" customFormat="1" x14ac:dyDescent="0.2">
      <c r="A146" s="90"/>
      <c r="B146" s="90"/>
      <c r="C146" s="90"/>
      <c r="D146" s="90"/>
      <c r="E146" s="90"/>
      <c r="F146" s="90"/>
      <c r="G146" s="90"/>
      <c r="H146" s="90"/>
      <c r="I146" s="90"/>
      <c r="K146" s="112"/>
      <c r="L146" s="139"/>
      <c r="M146" s="139"/>
      <c r="N146" s="139"/>
      <c r="O146" s="139"/>
      <c r="P146" s="139"/>
      <c r="Q146" s="139"/>
      <c r="R146" s="139"/>
    </row>
    <row r="147" spans="1:18" s="101" customFormat="1" x14ac:dyDescent="0.2">
      <c r="A147" s="90"/>
      <c r="B147" s="90"/>
      <c r="C147" s="90"/>
      <c r="D147" s="90"/>
      <c r="E147" s="90"/>
      <c r="F147" s="90"/>
      <c r="G147" s="90"/>
      <c r="H147" s="90"/>
      <c r="I147" s="90"/>
      <c r="K147" s="112"/>
      <c r="L147" s="139"/>
      <c r="M147" s="139"/>
      <c r="N147" s="139"/>
      <c r="O147" s="139"/>
      <c r="P147" s="139"/>
      <c r="Q147" s="139"/>
      <c r="R147" s="139"/>
    </row>
    <row r="148" spans="1:18" s="101" customFormat="1" x14ac:dyDescent="0.2">
      <c r="A148" s="90"/>
      <c r="B148" s="90"/>
      <c r="C148" s="90"/>
      <c r="D148" s="90"/>
      <c r="E148" s="90"/>
      <c r="F148" s="90"/>
      <c r="G148" s="90"/>
      <c r="H148" s="90"/>
      <c r="I148" s="90"/>
      <c r="K148" s="112"/>
      <c r="L148" s="139"/>
      <c r="M148" s="139"/>
      <c r="N148" s="139"/>
      <c r="O148" s="139"/>
      <c r="P148" s="139"/>
      <c r="Q148" s="139"/>
      <c r="R148" s="139"/>
    </row>
    <row r="149" spans="1:18" s="101" customFormat="1" x14ac:dyDescent="0.2">
      <c r="A149" s="90"/>
      <c r="B149" s="90"/>
      <c r="C149" s="90"/>
      <c r="D149" s="90"/>
      <c r="E149" s="90"/>
      <c r="F149" s="90"/>
      <c r="G149" s="90"/>
      <c r="H149" s="90"/>
      <c r="I149" s="90"/>
      <c r="K149" s="112"/>
      <c r="L149" s="139"/>
      <c r="M149" s="139"/>
      <c r="N149" s="139"/>
      <c r="O149" s="139"/>
      <c r="P149" s="139"/>
      <c r="Q149" s="139"/>
      <c r="R149" s="139"/>
    </row>
    <row r="150" spans="1:18" s="101" customFormat="1" x14ac:dyDescent="0.2">
      <c r="A150" s="90"/>
      <c r="B150" s="90"/>
      <c r="C150" s="90"/>
      <c r="D150" s="90"/>
      <c r="E150" s="90"/>
      <c r="F150" s="90"/>
      <c r="G150" s="90"/>
      <c r="H150" s="90"/>
      <c r="I150" s="90"/>
      <c r="K150" s="112"/>
      <c r="L150" s="139"/>
      <c r="M150" s="139"/>
      <c r="N150" s="139"/>
      <c r="O150" s="139"/>
      <c r="P150" s="139"/>
      <c r="Q150" s="139"/>
      <c r="R150" s="139"/>
    </row>
    <row r="151" spans="1:18" s="101" customFormat="1" x14ac:dyDescent="0.2">
      <c r="A151" s="90"/>
      <c r="B151" s="90"/>
      <c r="C151" s="90"/>
      <c r="D151" s="90"/>
      <c r="E151" s="90"/>
      <c r="F151" s="90"/>
      <c r="G151" s="90"/>
      <c r="H151" s="90"/>
      <c r="I151" s="90"/>
      <c r="K151" s="112"/>
      <c r="L151" s="139"/>
      <c r="M151" s="139"/>
      <c r="N151" s="139"/>
      <c r="O151" s="139"/>
      <c r="P151" s="139"/>
      <c r="Q151" s="139"/>
      <c r="R151" s="139"/>
    </row>
    <row r="152" spans="1:18" s="101" customFormat="1" x14ac:dyDescent="0.2">
      <c r="A152" s="90"/>
      <c r="B152" s="90"/>
      <c r="C152" s="90"/>
      <c r="D152" s="90"/>
      <c r="E152" s="90"/>
      <c r="F152" s="90"/>
      <c r="G152" s="90"/>
      <c r="H152" s="90"/>
      <c r="I152" s="90"/>
      <c r="K152" s="112"/>
      <c r="L152" s="139"/>
      <c r="M152" s="139"/>
      <c r="N152" s="139"/>
      <c r="O152" s="139"/>
      <c r="P152" s="139"/>
      <c r="Q152" s="139"/>
      <c r="R152" s="139"/>
    </row>
    <row r="153" spans="1:18" s="101" customFormat="1" x14ac:dyDescent="0.2">
      <c r="A153" s="90"/>
      <c r="B153" s="90"/>
      <c r="C153" s="90"/>
      <c r="D153" s="90"/>
      <c r="E153" s="90"/>
      <c r="F153" s="90"/>
      <c r="G153" s="90"/>
      <c r="H153" s="90"/>
      <c r="I153" s="90"/>
      <c r="K153" s="112"/>
      <c r="L153" s="139"/>
      <c r="M153" s="139"/>
      <c r="N153" s="139"/>
      <c r="O153" s="139"/>
      <c r="P153" s="139"/>
      <c r="Q153" s="139"/>
      <c r="R153" s="139"/>
    </row>
    <row r="154" spans="1:18" s="101" customFormat="1" x14ac:dyDescent="0.2">
      <c r="A154" s="90"/>
      <c r="B154" s="90"/>
      <c r="C154" s="90"/>
      <c r="D154" s="90"/>
      <c r="E154" s="90"/>
      <c r="F154" s="90"/>
      <c r="G154" s="90"/>
      <c r="H154" s="90"/>
      <c r="I154" s="90"/>
      <c r="K154" s="112"/>
      <c r="L154" s="139"/>
      <c r="M154" s="139"/>
      <c r="N154" s="139"/>
      <c r="O154" s="139"/>
      <c r="P154" s="139"/>
      <c r="Q154" s="139"/>
      <c r="R154" s="139"/>
    </row>
    <row r="155" spans="1:18" s="101" customFormat="1" x14ac:dyDescent="0.2">
      <c r="A155" s="90"/>
      <c r="B155" s="90"/>
      <c r="C155" s="90"/>
      <c r="D155" s="90"/>
      <c r="E155" s="90"/>
      <c r="F155" s="90"/>
      <c r="G155" s="90"/>
      <c r="H155" s="90"/>
      <c r="I155" s="90"/>
      <c r="K155" s="112"/>
      <c r="L155" s="139"/>
      <c r="M155" s="139"/>
      <c r="N155" s="139"/>
      <c r="O155" s="139"/>
      <c r="P155" s="139"/>
      <c r="Q155" s="139"/>
      <c r="R155" s="139"/>
    </row>
    <row r="156" spans="1:18" s="101" customFormat="1" x14ac:dyDescent="0.2">
      <c r="A156" s="90"/>
      <c r="B156" s="90"/>
      <c r="C156" s="90"/>
      <c r="D156" s="90"/>
      <c r="E156" s="90"/>
      <c r="F156" s="90"/>
      <c r="G156" s="90"/>
      <c r="H156" s="90"/>
      <c r="I156" s="90"/>
      <c r="K156" s="112"/>
      <c r="L156" s="139"/>
      <c r="M156" s="139"/>
      <c r="N156" s="139"/>
      <c r="O156" s="139"/>
      <c r="P156" s="139"/>
      <c r="Q156" s="139"/>
      <c r="R156" s="139"/>
    </row>
    <row r="157" spans="1:18" s="101" customFormat="1" x14ac:dyDescent="0.2">
      <c r="A157" s="90"/>
      <c r="B157" s="90"/>
      <c r="C157" s="90"/>
      <c r="D157" s="90"/>
      <c r="E157" s="90"/>
      <c r="F157" s="90"/>
      <c r="G157" s="90"/>
      <c r="H157" s="90"/>
      <c r="I157" s="90"/>
      <c r="K157" s="112"/>
      <c r="L157" s="139"/>
      <c r="M157" s="139"/>
      <c r="N157" s="139"/>
      <c r="O157" s="139"/>
      <c r="P157" s="139"/>
      <c r="Q157" s="139"/>
      <c r="R157" s="139"/>
    </row>
    <row r="158" spans="1:18" s="101" customFormat="1" x14ac:dyDescent="0.2">
      <c r="A158" s="90"/>
      <c r="B158" s="90"/>
      <c r="C158" s="90"/>
      <c r="D158" s="90"/>
      <c r="E158" s="90"/>
      <c r="F158" s="90"/>
      <c r="G158" s="90"/>
      <c r="H158" s="90"/>
      <c r="I158" s="90"/>
      <c r="K158" s="112"/>
      <c r="L158" s="139"/>
      <c r="M158" s="139"/>
      <c r="N158" s="139"/>
      <c r="O158" s="139"/>
      <c r="P158" s="139"/>
      <c r="Q158" s="139"/>
      <c r="R158" s="139"/>
    </row>
    <row r="159" spans="1:18" s="101" customFormat="1" x14ac:dyDescent="0.2">
      <c r="A159" s="90"/>
      <c r="B159" s="90"/>
      <c r="C159" s="90"/>
      <c r="D159" s="90"/>
      <c r="E159" s="90"/>
      <c r="F159" s="90"/>
      <c r="G159" s="90"/>
      <c r="H159" s="90"/>
      <c r="I159" s="90"/>
      <c r="K159" s="112"/>
      <c r="L159" s="139"/>
      <c r="M159" s="139"/>
      <c r="N159" s="139"/>
      <c r="O159" s="139"/>
      <c r="P159" s="139"/>
      <c r="Q159" s="139"/>
      <c r="R159" s="139"/>
    </row>
    <row r="160" spans="1:18" s="101" customFormat="1" x14ac:dyDescent="0.2">
      <c r="A160" s="90"/>
      <c r="B160" s="90"/>
      <c r="C160" s="90"/>
      <c r="D160" s="90"/>
      <c r="E160" s="90"/>
      <c r="F160" s="90"/>
      <c r="G160" s="90"/>
      <c r="H160" s="90"/>
      <c r="I160" s="90"/>
      <c r="K160" s="112"/>
      <c r="L160" s="139"/>
      <c r="M160" s="139"/>
      <c r="N160" s="139"/>
      <c r="O160" s="139"/>
      <c r="P160" s="139"/>
      <c r="Q160" s="139"/>
      <c r="R160" s="139"/>
    </row>
    <row r="161" spans="1:18" s="101" customFormat="1" x14ac:dyDescent="0.2">
      <c r="A161" s="90"/>
      <c r="B161" s="90"/>
      <c r="C161" s="90"/>
      <c r="D161" s="90"/>
      <c r="E161" s="90"/>
      <c r="F161" s="90"/>
      <c r="G161" s="90"/>
      <c r="H161" s="90"/>
      <c r="I161" s="90"/>
      <c r="K161" s="112"/>
      <c r="L161" s="139"/>
      <c r="M161" s="139"/>
      <c r="N161" s="139"/>
      <c r="O161" s="139"/>
      <c r="P161" s="139"/>
      <c r="Q161" s="139"/>
      <c r="R161" s="139"/>
    </row>
    <row r="162" spans="1:18" s="101" customFormat="1" x14ac:dyDescent="0.2">
      <c r="A162" s="90"/>
      <c r="B162" s="90"/>
      <c r="C162" s="90"/>
      <c r="D162" s="90"/>
      <c r="E162" s="90"/>
      <c r="F162" s="90"/>
      <c r="G162" s="90"/>
      <c r="H162" s="90"/>
      <c r="I162" s="90"/>
      <c r="K162" s="112"/>
      <c r="L162" s="139"/>
      <c r="M162" s="139"/>
      <c r="N162" s="139"/>
      <c r="O162" s="139"/>
      <c r="P162" s="139"/>
      <c r="Q162" s="139"/>
      <c r="R162" s="139"/>
    </row>
    <row r="163" spans="1:18" s="101" customFormat="1" x14ac:dyDescent="0.2">
      <c r="A163" s="90"/>
      <c r="B163" s="90"/>
      <c r="C163" s="90"/>
      <c r="D163" s="90"/>
      <c r="E163" s="90"/>
      <c r="F163" s="90"/>
      <c r="G163" s="90"/>
      <c r="H163" s="90"/>
      <c r="I163" s="90"/>
      <c r="K163" s="112"/>
      <c r="L163" s="139"/>
      <c r="M163" s="139"/>
      <c r="N163" s="139"/>
      <c r="O163" s="139"/>
      <c r="P163" s="139"/>
      <c r="Q163" s="139"/>
      <c r="R163" s="139"/>
    </row>
    <row r="164" spans="1:18" s="101" customFormat="1" x14ac:dyDescent="0.2">
      <c r="A164" s="90"/>
      <c r="B164" s="90"/>
      <c r="C164" s="90"/>
      <c r="D164" s="90"/>
      <c r="E164" s="90"/>
      <c r="F164" s="90"/>
      <c r="G164" s="90"/>
      <c r="H164" s="90"/>
      <c r="I164" s="90"/>
      <c r="K164" s="112"/>
      <c r="L164" s="139"/>
      <c r="M164" s="139"/>
      <c r="N164" s="139"/>
      <c r="O164" s="139"/>
      <c r="P164" s="139"/>
      <c r="Q164" s="139"/>
      <c r="R164" s="139"/>
    </row>
    <row r="165" spans="1:18" s="101" customFormat="1" x14ac:dyDescent="0.2">
      <c r="A165" s="90"/>
      <c r="B165" s="90"/>
      <c r="C165" s="90"/>
      <c r="D165" s="90"/>
      <c r="E165" s="90"/>
      <c r="F165" s="90"/>
      <c r="G165" s="90"/>
      <c r="H165" s="90"/>
      <c r="I165" s="90"/>
      <c r="K165" s="112"/>
      <c r="L165" s="139"/>
      <c r="M165" s="139"/>
      <c r="N165" s="139"/>
      <c r="O165" s="139"/>
      <c r="P165" s="139"/>
      <c r="Q165" s="139"/>
      <c r="R165" s="139"/>
    </row>
    <row r="166" spans="1:18" s="101" customFormat="1" x14ac:dyDescent="0.2">
      <c r="A166" s="90"/>
      <c r="B166" s="90"/>
      <c r="C166" s="90"/>
      <c r="D166" s="90"/>
      <c r="E166" s="90"/>
      <c r="F166" s="90"/>
      <c r="G166" s="90"/>
      <c r="H166" s="90"/>
      <c r="I166" s="90"/>
      <c r="K166" s="112"/>
      <c r="L166" s="139"/>
      <c r="M166" s="139"/>
      <c r="N166" s="139"/>
      <c r="O166" s="139"/>
      <c r="P166" s="139"/>
      <c r="Q166" s="139"/>
      <c r="R166" s="139"/>
    </row>
    <row r="167" spans="1:18" s="101" customFormat="1" x14ac:dyDescent="0.2">
      <c r="A167" s="90"/>
      <c r="B167" s="90"/>
      <c r="C167" s="90"/>
      <c r="D167" s="90"/>
      <c r="E167" s="90"/>
      <c r="F167" s="90"/>
      <c r="G167" s="90"/>
      <c r="H167" s="90"/>
      <c r="I167" s="90"/>
      <c r="K167" s="112"/>
      <c r="L167" s="139"/>
      <c r="M167" s="139"/>
      <c r="N167" s="139"/>
      <c r="O167" s="139"/>
      <c r="P167" s="139"/>
      <c r="Q167" s="139"/>
      <c r="R167" s="139"/>
    </row>
    <row r="168" spans="1:18" s="101" customFormat="1" x14ac:dyDescent="0.2">
      <c r="A168" s="90"/>
      <c r="B168" s="90"/>
      <c r="C168" s="90"/>
      <c r="D168" s="90"/>
      <c r="E168" s="90"/>
      <c r="F168" s="90"/>
      <c r="G168" s="90"/>
      <c r="H168" s="90"/>
      <c r="I168" s="90"/>
      <c r="K168" s="112"/>
      <c r="L168" s="139"/>
      <c r="M168" s="139"/>
      <c r="N168" s="139"/>
      <c r="O168" s="139"/>
      <c r="P168" s="139"/>
      <c r="Q168" s="139"/>
      <c r="R168" s="139"/>
    </row>
    <row r="169" spans="1:18" s="101" customFormat="1" x14ac:dyDescent="0.2">
      <c r="A169" s="90"/>
      <c r="B169" s="90"/>
      <c r="C169" s="90"/>
      <c r="D169" s="90"/>
      <c r="E169" s="90"/>
      <c r="F169" s="90"/>
      <c r="G169" s="90"/>
      <c r="H169" s="90"/>
      <c r="I169" s="90"/>
      <c r="K169" s="112"/>
      <c r="L169" s="139"/>
      <c r="M169" s="139"/>
      <c r="N169" s="139"/>
      <c r="O169" s="139"/>
      <c r="P169" s="139"/>
      <c r="Q169" s="139"/>
      <c r="R169" s="139"/>
    </row>
    <row r="170" spans="1:18" s="101" customFormat="1" x14ac:dyDescent="0.2">
      <c r="A170" s="90"/>
      <c r="B170" s="90"/>
      <c r="C170" s="90"/>
      <c r="D170" s="90"/>
      <c r="E170" s="90"/>
      <c r="F170" s="90"/>
      <c r="G170" s="90"/>
      <c r="H170" s="90"/>
      <c r="I170" s="90"/>
      <c r="K170" s="112"/>
      <c r="L170" s="139"/>
      <c r="M170" s="139"/>
      <c r="N170" s="139"/>
      <c r="O170" s="139"/>
      <c r="P170" s="139"/>
      <c r="Q170" s="139"/>
      <c r="R170" s="139"/>
    </row>
    <row r="171" spans="1:18" s="101" customFormat="1" x14ac:dyDescent="0.2">
      <c r="A171" s="90"/>
      <c r="B171" s="90"/>
      <c r="C171" s="90"/>
      <c r="D171" s="90"/>
      <c r="E171" s="90"/>
      <c r="F171" s="90"/>
      <c r="G171" s="90"/>
      <c r="H171" s="90"/>
      <c r="I171" s="90"/>
      <c r="K171" s="112"/>
      <c r="L171" s="139"/>
      <c r="M171" s="139"/>
      <c r="N171" s="139"/>
      <c r="O171" s="139"/>
      <c r="P171" s="139"/>
      <c r="Q171" s="139"/>
      <c r="R171" s="139"/>
    </row>
    <row r="172" spans="1:18" s="101" customFormat="1" x14ac:dyDescent="0.2">
      <c r="A172" s="90"/>
      <c r="B172" s="90"/>
      <c r="C172" s="90"/>
      <c r="D172" s="90"/>
      <c r="E172" s="90"/>
      <c r="F172" s="90"/>
      <c r="G172" s="90"/>
      <c r="H172" s="90"/>
      <c r="I172" s="90"/>
      <c r="K172" s="112"/>
      <c r="L172" s="139"/>
      <c r="M172" s="139"/>
      <c r="N172" s="139"/>
      <c r="O172" s="139"/>
      <c r="P172" s="139"/>
      <c r="Q172" s="139"/>
      <c r="R172" s="139"/>
    </row>
    <row r="173" spans="1:18" s="101" customFormat="1" x14ac:dyDescent="0.2">
      <c r="A173" s="90"/>
      <c r="B173" s="90"/>
      <c r="C173" s="90"/>
      <c r="D173" s="90"/>
      <c r="E173" s="90"/>
      <c r="F173" s="90"/>
      <c r="G173" s="90"/>
      <c r="H173" s="90"/>
      <c r="I173" s="90"/>
      <c r="K173" s="112"/>
      <c r="L173" s="139"/>
      <c r="M173" s="139"/>
      <c r="N173" s="139"/>
      <c r="O173" s="139"/>
      <c r="P173" s="139"/>
      <c r="Q173" s="139"/>
      <c r="R173" s="139"/>
    </row>
    <row r="174" spans="1:18" s="101" customFormat="1" x14ac:dyDescent="0.2">
      <c r="A174" s="90"/>
      <c r="B174" s="90"/>
      <c r="C174" s="90"/>
      <c r="D174" s="90"/>
      <c r="E174" s="90"/>
      <c r="F174" s="90"/>
      <c r="G174" s="90"/>
      <c r="H174" s="90"/>
      <c r="I174" s="90"/>
      <c r="K174" s="112"/>
      <c r="L174" s="139"/>
      <c r="M174" s="139"/>
      <c r="N174" s="139"/>
      <c r="O174" s="139"/>
      <c r="P174" s="139"/>
      <c r="Q174" s="139"/>
      <c r="R174" s="139"/>
    </row>
    <row r="175" spans="1:18" s="101" customFormat="1" x14ac:dyDescent="0.2">
      <c r="A175" s="90"/>
      <c r="B175" s="90"/>
      <c r="C175" s="90"/>
      <c r="D175" s="90"/>
      <c r="E175" s="90"/>
      <c r="F175" s="90"/>
      <c r="G175" s="90"/>
      <c r="H175" s="90"/>
      <c r="I175" s="90"/>
      <c r="K175" s="112"/>
      <c r="L175" s="139"/>
      <c r="M175" s="139"/>
      <c r="N175" s="139"/>
      <c r="O175" s="139"/>
      <c r="P175" s="139"/>
      <c r="Q175" s="139"/>
      <c r="R175" s="139"/>
    </row>
    <row r="176" spans="1:18" s="101" customFormat="1" x14ac:dyDescent="0.2">
      <c r="A176" s="90"/>
      <c r="B176" s="90"/>
      <c r="C176" s="90"/>
      <c r="D176" s="90"/>
      <c r="E176" s="90"/>
      <c r="F176" s="90"/>
      <c r="G176" s="90"/>
      <c r="H176" s="90"/>
      <c r="I176" s="90"/>
      <c r="K176" s="112"/>
      <c r="L176" s="139"/>
      <c r="M176" s="139"/>
      <c r="N176" s="139"/>
      <c r="O176" s="139"/>
      <c r="P176" s="139"/>
      <c r="Q176" s="139"/>
      <c r="R176" s="139"/>
    </row>
    <row r="177" spans="1:18" s="101" customFormat="1" x14ac:dyDescent="0.2">
      <c r="A177" s="90"/>
      <c r="B177" s="90"/>
      <c r="C177" s="90"/>
      <c r="D177" s="90"/>
      <c r="E177" s="90"/>
      <c r="F177" s="90"/>
      <c r="G177" s="90"/>
      <c r="H177" s="90"/>
      <c r="I177" s="90"/>
      <c r="K177" s="112"/>
      <c r="L177" s="139"/>
      <c r="M177" s="139"/>
      <c r="N177" s="139"/>
      <c r="O177" s="139"/>
      <c r="P177" s="139"/>
      <c r="Q177" s="139"/>
      <c r="R177" s="139"/>
    </row>
    <row r="178" spans="1:18" s="101" customFormat="1" x14ac:dyDescent="0.2">
      <c r="A178" s="90"/>
      <c r="B178" s="90"/>
      <c r="C178" s="90"/>
      <c r="D178" s="90"/>
      <c r="E178" s="90"/>
      <c r="F178" s="90"/>
      <c r="G178" s="90"/>
      <c r="H178" s="90"/>
      <c r="I178" s="90"/>
      <c r="K178" s="112"/>
      <c r="L178" s="139"/>
      <c r="M178" s="139"/>
      <c r="N178" s="139"/>
      <c r="O178" s="139"/>
      <c r="P178" s="139"/>
      <c r="Q178" s="139"/>
      <c r="R178" s="139"/>
    </row>
    <row r="179" spans="1:18" s="101" customFormat="1" x14ac:dyDescent="0.2">
      <c r="A179" s="90"/>
      <c r="B179" s="90"/>
      <c r="C179" s="90"/>
      <c r="D179" s="90"/>
      <c r="E179" s="90"/>
      <c r="F179" s="90"/>
      <c r="G179" s="90"/>
      <c r="H179" s="90"/>
      <c r="I179" s="90"/>
      <c r="K179" s="112"/>
      <c r="L179" s="139"/>
      <c r="M179" s="139"/>
      <c r="N179" s="139"/>
      <c r="O179" s="139"/>
      <c r="P179" s="139"/>
      <c r="Q179" s="139"/>
      <c r="R179" s="139"/>
    </row>
    <row r="180" spans="1:18" s="101" customFormat="1" x14ac:dyDescent="0.2">
      <c r="A180" s="90"/>
      <c r="B180" s="90"/>
      <c r="C180" s="90"/>
      <c r="D180" s="90"/>
      <c r="E180" s="90"/>
      <c r="F180" s="90"/>
      <c r="G180" s="90"/>
      <c r="H180" s="90"/>
      <c r="I180" s="90"/>
      <c r="K180" s="112"/>
      <c r="L180" s="139"/>
      <c r="M180" s="139"/>
      <c r="N180" s="139"/>
      <c r="O180" s="139"/>
      <c r="P180" s="139"/>
      <c r="Q180" s="139"/>
      <c r="R180" s="139"/>
    </row>
    <row r="181" spans="1:18" s="101" customFormat="1" x14ac:dyDescent="0.2">
      <c r="A181" s="90"/>
      <c r="B181" s="90"/>
      <c r="C181" s="90"/>
      <c r="D181" s="90"/>
      <c r="E181" s="90"/>
      <c r="F181" s="90"/>
      <c r="G181" s="90"/>
      <c r="H181" s="90"/>
      <c r="I181" s="90"/>
      <c r="K181" s="112"/>
      <c r="L181" s="139"/>
      <c r="M181" s="139"/>
      <c r="N181" s="139"/>
      <c r="O181" s="139"/>
      <c r="P181" s="139"/>
      <c r="Q181" s="139"/>
      <c r="R181" s="139"/>
    </row>
    <row r="182" spans="1:18" s="101" customFormat="1" x14ac:dyDescent="0.2">
      <c r="A182" s="90"/>
      <c r="B182" s="90"/>
      <c r="C182" s="90"/>
      <c r="D182" s="90"/>
      <c r="E182" s="90"/>
      <c r="F182" s="90"/>
      <c r="G182" s="90"/>
      <c r="H182" s="90"/>
      <c r="I182" s="90"/>
      <c r="K182" s="112"/>
      <c r="L182" s="139"/>
      <c r="M182" s="139"/>
      <c r="N182" s="139"/>
      <c r="O182" s="139"/>
      <c r="P182" s="139"/>
      <c r="Q182" s="139"/>
      <c r="R182" s="139"/>
    </row>
    <row r="183" spans="1:18" s="101" customFormat="1" x14ac:dyDescent="0.2">
      <c r="A183" s="90"/>
      <c r="B183" s="90"/>
      <c r="C183" s="90"/>
      <c r="D183" s="90"/>
      <c r="E183" s="90"/>
      <c r="F183" s="90"/>
      <c r="G183" s="90"/>
      <c r="H183" s="90"/>
      <c r="I183" s="90"/>
      <c r="K183" s="112"/>
      <c r="L183" s="139"/>
      <c r="M183" s="139"/>
      <c r="N183" s="139"/>
      <c r="O183" s="139"/>
      <c r="P183" s="139"/>
      <c r="Q183" s="139"/>
      <c r="R183" s="139"/>
    </row>
    <row r="184" spans="1:18" s="101" customFormat="1" x14ac:dyDescent="0.2">
      <c r="A184" s="90"/>
      <c r="B184" s="90"/>
      <c r="C184" s="90"/>
      <c r="D184" s="90"/>
      <c r="E184" s="90"/>
      <c r="F184" s="90"/>
      <c r="G184" s="90"/>
      <c r="H184" s="90"/>
      <c r="I184" s="90"/>
      <c r="K184" s="112"/>
      <c r="L184" s="139"/>
      <c r="M184" s="139"/>
      <c r="N184" s="139"/>
      <c r="O184" s="139"/>
      <c r="P184" s="139"/>
      <c r="Q184" s="139"/>
      <c r="R184" s="139"/>
    </row>
    <row r="185" spans="1:18" s="101" customFormat="1" x14ac:dyDescent="0.2">
      <c r="A185" s="90"/>
      <c r="B185" s="90"/>
      <c r="C185" s="90"/>
      <c r="D185" s="90"/>
      <c r="E185" s="90"/>
      <c r="F185" s="90"/>
      <c r="G185" s="90"/>
      <c r="H185" s="90"/>
      <c r="I185" s="90"/>
      <c r="K185" s="112"/>
      <c r="L185" s="139"/>
      <c r="M185" s="139"/>
      <c r="N185" s="139"/>
      <c r="O185" s="139"/>
      <c r="P185" s="139"/>
      <c r="Q185" s="139"/>
      <c r="R185" s="139"/>
    </row>
    <row r="186" spans="1:18" s="101" customFormat="1" x14ac:dyDescent="0.2">
      <c r="A186" s="90"/>
      <c r="B186" s="90"/>
      <c r="C186" s="90"/>
      <c r="D186" s="90"/>
      <c r="E186" s="90"/>
      <c r="F186" s="90"/>
      <c r="G186" s="90"/>
      <c r="H186" s="90"/>
      <c r="I186" s="90"/>
      <c r="K186" s="112"/>
      <c r="L186" s="139"/>
      <c r="M186" s="139"/>
      <c r="N186" s="139"/>
      <c r="O186" s="139"/>
      <c r="P186" s="139"/>
      <c r="Q186" s="139"/>
      <c r="R186" s="139"/>
    </row>
    <row r="187" spans="1:18" s="101" customFormat="1" x14ac:dyDescent="0.2">
      <c r="A187" s="90"/>
      <c r="B187" s="90"/>
      <c r="C187" s="90"/>
      <c r="D187" s="90"/>
      <c r="E187" s="90"/>
      <c r="F187" s="90"/>
      <c r="G187" s="90"/>
      <c r="H187" s="90"/>
      <c r="I187" s="90"/>
      <c r="K187" s="112"/>
      <c r="L187" s="139"/>
      <c r="M187" s="139"/>
      <c r="N187" s="139"/>
      <c r="O187" s="139"/>
      <c r="P187" s="139"/>
      <c r="Q187" s="139"/>
      <c r="R187" s="139"/>
    </row>
    <row r="188" spans="1:18" s="101" customFormat="1" x14ac:dyDescent="0.2">
      <c r="A188" s="90"/>
      <c r="B188" s="90"/>
      <c r="C188" s="90"/>
      <c r="D188" s="90"/>
      <c r="E188" s="90"/>
      <c r="F188" s="90"/>
      <c r="G188" s="90"/>
      <c r="H188" s="90"/>
      <c r="I188" s="90"/>
      <c r="K188" s="112"/>
      <c r="L188" s="139"/>
      <c r="M188" s="139"/>
      <c r="N188" s="139"/>
      <c r="O188" s="139"/>
      <c r="P188" s="139"/>
      <c r="Q188" s="139"/>
      <c r="R188" s="139"/>
    </row>
    <row r="189" spans="1:18" s="101" customFormat="1" x14ac:dyDescent="0.2">
      <c r="A189" s="90"/>
      <c r="B189" s="90"/>
      <c r="C189" s="90"/>
      <c r="D189" s="90"/>
      <c r="E189" s="90"/>
      <c r="F189" s="90"/>
      <c r="G189" s="90"/>
      <c r="H189" s="90"/>
      <c r="I189" s="90"/>
      <c r="K189" s="112"/>
      <c r="L189" s="139"/>
      <c r="M189" s="139"/>
      <c r="N189" s="139"/>
      <c r="O189" s="139"/>
      <c r="P189" s="139"/>
      <c r="Q189" s="139"/>
      <c r="R189" s="139"/>
    </row>
    <row r="190" spans="1:18" s="101" customFormat="1" x14ac:dyDescent="0.2">
      <c r="A190" s="90"/>
      <c r="B190" s="90"/>
      <c r="C190" s="90"/>
      <c r="D190" s="90"/>
      <c r="E190" s="90"/>
      <c r="F190" s="90"/>
      <c r="G190" s="90"/>
      <c r="H190" s="90"/>
      <c r="I190" s="90"/>
      <c r="K190" s="112"/>
      <c r="L190" s="139"/>
      <c r="M190" s="139"/>
      <c r="N190" s="139"/>
      <c r="O190" s="139"/>
      <c r="P190" s="139"/>
      <c r="Q190" s="139"/>
      <c r="R190" s="139"/>
    </row>
    <row r="191" spans="1:18" s="101" customFormat="1" x14ac:dyDescent="0.2">
      <c r="A191" s="90"/>
      <c r="B191" s="90"/>
      <c r="C191" s="90"/>
      <c r="D191" s="90"/>
      <c r="E191" s="90"/>
      <c r="F191" s="90"/>
      <c r="G191" s="90"/>
      <c r="H191" s="90"/>
      <c r="I191" s="90"/>
      <c r="K191" s="112"/>
      <c r="L191" s="139"/>
      <c r="M191" s="139"/>
      <c r="N191" s="139"/>
      <c r="O191" s="139"/>
      <c r="P191" s="139"/>
      <c r="Q191" s="139"/>
      <c r="R191" s="139"/>
    </row>
    <row r="192" spans="1:18" s="101" customFormat="1" x14ac:dyDescent="0.2">
      <c r="A192" s="90"/>
      <c r="B192" s="90"/>
      <c r="C192" s="90"/>
      <c r="D192" s="90"/>
      <c r="E192" s="90"/>
      <c r="F192" s="90"/>
      <c r="G192" s="90"/>
      <c r="H192" s="90"/>
      <c r="I192" s="90"/>
      <c r="K192" s="112"/>
      <c r="L192" s="139"/>
      <c r="M192" s="139"/>
      <c r="N192" s="139"/>
      <c r="O192" s="139"/>
      <c r="P192" s="139"/>
      <c r="Q192" s="139"/>
      <c r="R192" s="139"/>
    </row>
    <row r="193" spans="1:18" s="101" customFormat="1" x14ac:dyDescent="0.2">
      <c r="A193" s="90"/>
      <c r="B193" s="90"/>
      <c r="C193" s="90"/>
      <c r="D193" s="90"/>
      <c r="E193" s="90"/>
      <c r="F193" s="90"/>
      <c r="G193" s="90"/>
      <c r="H193" s="90"/>
      <c r="I193" s="90"/>
      <c r="K193" s="112"/>
      <c r="L193" s="139"/>
      <c r="M193" s="139"/>
      <c r="N193" s="139"/>
      <c r="O193" s="139"/>
      <c r="P193" s="139"/>
      <c r="Q193" s="139"/>
      <c r="R193" s="139"/>
    </row>
    <row r="194" spans="1:18" s="101" customFormat="1" x14ac:dyDescent="0.2">
      <c r="A194" s="90"/>
      <c r="B194" s="90"/>
      <c r="C194" s="90"/>
      <c r="D194" s="90"/>
      <c r="E194" s="90"/>
      <c r="F194" s="90"/>
      <c r="G194" s="90"/>
      <c r="H194" s="90"/>
      <c r="I194" s="90"/>
      <c r="K194" s="112"/>
      <c r="L194" s="139"/>
      <c r="M194" s="139"/>
      <c r="N194" s="139"/>
      <c r="O194" s="139"/>
      <c r="P194" s="139"/>
      <c r="Q194" s="139"/>
      <c r="R194" s="139"/>
    </row>
    <row r="195" spans="1:18" s="101" customFormat="1" x14ac:dyDescent="0.2">
      <c r="A195" s="90"/>
      <c r="B195" s="90"/>
      <c r="C195" s="90"/>
      <c r="D195" s="90"/>
      <c r="E195" s="90"/>
      <c r="F195" s="90"/>
      <c r="G195" s="90"/>
      <c r="H195" s="90"/>
      <c r="I195" s="90"/>
      <c r="K195" s="112"/>
      <c r="L195" s="139"/>
      <c r="M195" s="139"/>
      <c r="N195" s="139"/>
      <c r="O195" s="139"/>
      <c r="P195" s="139"/>
      <c r="Q195" s="139"/>
      <c r="R195" s="139"/>
    </row>
    <row r="196" spans="1:18" s="101" customFormat="1" x14ac:dyDescent="0.2">
      <c r="A196" s="90"/>
      <c r="B196" s="90"/>
      <c r="C196" s="90"/>
      <c r="D196" s="90"/>
      <c r="E196" s="90"/>
      <c r="F196" s="90"/>
      <c r="G196" s="90"/>
      <c r="H196" s="90"/>
      <c r="I196" s="90"/>
      <c r="K196" s="112"/>
      <c r="L196" s="139"/>
      <c r="M196" s="139"/>
      <c r="N196" s="139"/>
      <c r="O196" s="139"/>
      <c r="P196" s="139"/>
      <c r="Q196" s="139"/>
      <c r="R196" s="139"/>
    </row>
    <row r="197" spans="1:18" s="101" customFormat="1" x14ac:dyDescent="0.2">
      <c r="A197" s="90"/>
      <c r="B197" s="90"/>
      <c r="C197" s="90"/>
      <c r="D197" s="90"/>
      <c r="E197" s="90"/>
      <c r="F197" s="90"/>
      <c r="G197" s="90"/>
      <c r="H197" s="90"/>
      <c r="I197" s="90"/>
      <c r="K197" s="112"/>
      <c r="L197" s="139"/>
      <c r="M197" s="139"/>
      <c r="N197" s="139"/>
      <c r="O197" s="139"/>
      <c r="P197" s="139"/>
      <c r="Q197" s="139"/>
      <c r="R197" s="139"/>
    </row>
    <row r="198" spans="1:18" s="101" customFormat="1" x14ac:dyDescent="0.2">
      <c r="A198" s="90"/>
      <c r="B198" s="90"/>
      <c r="C198" s="90"/>
      <c r="D198" s="90"/>
      <c r="E198" s="90"/>
      <c r="F198" s="90"/>
      <c r="G198" s="90"/>
      <c r="H198" s="90"/>
      <c r="I198" s="90"/>
      <c r="K198" s="112"/>
      <c r="L198" s="139"/>
      <c r="M198" s="139"/>
      <c r="N198" s="139"/>
      <c r="O198" s="139"/>
      <c r="P198" s="139"/>
      <c r="Q198" s="139"/>
      <c r="R198" s="139"/>
    </row>
    <row r="199" spans="1:18" s="101" customFormat="1" x14ac:dyDescent="0.2">
      <c r="A199" s="90"/>
      <c r="B199" s="90"/>
      <c r="C199" s="90"/>
      <c r="D199" s="90"/>
      <c r="E199" s="90"/>
      <c r="F199" s="90"/>
      <c r="G199" s="90"/>
      <c r="H199" s="90"/>
      <c r="I199" s="90"/>
      <c r="K199" s="112"/>
      <c r="L199" s="139"/>
      <c r="M199" s="139"/>
      <c r="N199" s="139"/>
      <c r="O199" s="139"/>
      <c r="P199" s="139"/>
      <c r="Q199" s="139"/>
      <c r="R199" s="139"/>
    </row>
    <row r="200" spans="1:18" s="101" customFormat="1" x14ac:dyDescent="0.2">
      <c r="A200" s="90"/>
      <c r="B200" s="90"/>
      <c r="C200" s="90"/>
      <c r="D200" s="90"/>
      <c r="E200" s="90"/>
      <c r="F200" s="90"/>
      <c r="G200" s="90"/>
      <c r="H200" s="90"/>
      <c r="I200" s="90"/>
      <c r="K200" s="112"/>
      <c r="L200" s="139"/>
      <c r="M200" s="139"/>
      <c r="N200" s="139"/>
      <c r="O200" s="139"/>
      <c r="P200" s="139"/>
      <c r="Q200" s="139"/>
      <c r="R200" s="139"/>
    </row>
    <row r="201" spans="1:18" s="101" customFormat="1" x14ac:dyDescent="0.2">
      <c r="A201" s="90"/>
      <c r="B201" s="90"/>
      <c r="C201" s="90"/>
      <c r="D201" s="90"/>
      <c r="E201" s="90"/>
      <c r="F201" s="90"/>
      <c r="G201" s="90"/>
      <c r="H201" s="90"/>
      <c r="I201" s="90"/>
      <c r="K201" s="112"/>
      <c r="L201" s="139"/>
      <c r="M201" s="139"/>
      <c r="N201" s="139"/>
      <c r="O201" s="139"/>
      <c r="P201" s="139"/>
      <c r="Q201" s="139"/>
      <c r="R201" s="139"/>
    </row>
    <row r="202" spans="1:18" s="101" customFormat="1" x14ac:dyDescent="0.2">
      <c r="A202" s="90"/>
      <c r="B202" s="90"/>
      <c r="C202" s="90"/>
      <c r="D202" s="90"/>
      <c r="E202" s="90"/>
      <c r="F202" s="90"/>
      <c r="G202" s="90"/>
      <c r="H202" s="90"/>
      <c r="I202" s="90"/>
      <c r="K202" s="112"/>
      <c r="L202" s="139"/>
      <c r="M202" s="139"/>
      <c r="N202" s="139"/>
      <c r="O202" s="139"/>
      <c r="P202" s="139"/>
      <c r="Q202" s="139"/>
      <c r="R202" s="139"/>
    </row>
    <row r="203" spans="1:18" s="101" customFormat="1" x14ac:dyDescent="0.2">
      <c r="A203" s="90"/>
      <c r="B203" s="90"/>
      <c r="C203" s="90"/>
      <c r="D203" s="90"/>
      <c r="E203" s="90"/>
      <c r="F203" s="90"/>
      <c r="G203" s="90"/>
      <c r="H203" s="90"/>
      <c r="I203" s="90"/>
      <c r="K203" s="112"/>
      <c r="L203" s="139"/>
      <c r="M203" s="139"/>
      <c r="N203" s="139"/>
      <c r="O203" s="139"/>
      <c r="P203" s="139"/>
      <c r="Q203" s="139"/>
      <c r="R203" s="139"/>
    </row>
    <row r="204" spans="1:18" s="101" customFormat="1" x14ac:dyDescent="0.2">
      <c r="A204" s="90"/>
      <c r="B204" s="90"/>
      <c r="C204" s="90"/>
      <c r="D204" s="90"/>
      <c r="E204" s="90"/>
      <c r="F204" s="90"/>
      <c r="G204" s="90"/>
      <c r="H204" s="90"/>
      <c r="I204" s="90"/>
      <c r="K204" s="112"/>
      <c r="L204" s="139"/>
      <c r="M204" s="139"/>
      <c r="N204" s="139"/>
      <c r="O204" s="139"/>
      <c r="P204" s="139"/>
      <c r="Q204" s="139"/>
      <c r="R204" s="139"/>
    </row>
    <row r="205" spans="1:18" s="101" customFormat="1" x14ac:dyDescent="0.2">
      <c r="A205" s="90"/>
      <c r="B205" s="90"/>
      <c r="C205" s="90"/>
      <c r="D205" s="90"/>
      <c r="E205" s="90"/>
      <c r="F205" s="90"/>
      <c r="G205" s="90"/>
      <c r="H205" s="90"/>
      <c r="I205" s="90"/>
      <c r="K205" s="112"/>
      <c r="L205" s="139"/>
      <c r="M205" s="139"/>
      <c r="N205" s="139"/>
      <c r="O205" s="139"/>
      <c r="P205" s="139"/>
      <c r="Q205" s="139"/>
      <c r="R205" s="139"/>
    </row>
    <row r="206" spans="1:18" s="101" customFormat="1" x14ac:dyDescent="0.2">
      <c r="A206" s="90"/>
      <c r="B206" s="90"/>
      <c r="C206" s="90"/>
      <c r="D206" s="90"/>
      <c r="E206" s="90"/>
      <c r="F206" s="90"/>
      <c r="G206" s="90"/>
      <c r="H206" s="90"/>
      <c r="I206" s="90"/>
      <c r="K206" s="112"/>
      <c r="L206" s="139"/>
      <c r="M206" s="139"/>
      <c r="N206" s="139"/>
      <c r="O206" s="139"/>
      <c r="P206" s="139"/>
      <c r="Q206" s="139"/>
      <c r="R206" s="139"/>
    </row>
    <row r="207" spans="1:18" s="101" customFormat="1" x14ac:dyDescent="0.2">
      <c r="A207" s="90"/>
      <c r="B207" s="90"/>
      <c r="C207" s="90"/>
      <c r="D207" s="90"/>
      <c r="E207" s="90"/>
      <c r="F207" s="90"/>
      <c r="G207" s="90"/>
      <c r="H207" s="90"/>
      <c r="I207" s="90"/>
      <c r="K207" s="112"/>
      <c r="L207" s="139"/>
      <c r="M207" s="139"/>
      <c r="N207" s="139"/>
      <c r="O207" s="139"/>
      <c r="P207" s="139"/>
      <c r="Q207" s="139"/>
      <c r="R207" s="139"/>
    </row>
    <row r="208" spans="1:18" s="101" customFormat="1" x14ac:dyDescent="0.2">
      <c r="A208" s="90"/>
      <c r="B208" s="90"/>
      <c r="C208" s="90"/>
      <c r="D208" s="90"/>
      <c r="E208" s="90"/>
      <c r="F208" s="90"/>
      <c r="G208" s="90"/>
      <c r="H208" s="90"/>
      <c r="I208" s="90"/>
      <c r="K208" s="112"/>
      <c r="L208" s="139"/>
      <c r="M208" s="139"/>
      <c r="N208" s="139"/>
      <c r="O208" s="139"/>
      <c r="P208" s="139"/>
      <c r="Q208" s="139"/>
      <c r="R208" s="139"/>
    </row>
    <row r="209" spans="1:18" s="101" customFormat="1" x14ac:dyDescent="0.2">
      <c r="A209" s="90"/>
      <c r="B209" s="90"/>
      <c r="C209" s="90"/>
      <c r="D209" s="90"/>
      <c r="E209" s="90"/>
      <c r="F209" s="90"/>
      <c r="G209" s="90"/>
      <c r="H209" s="90"/>
      <c r="I209" s="90"/>
      <c r="K209" s="112"/>
      <c r="L209" s="139"/>
      <c r="M209" s="139"/>
      <c r="N209" s="139"/>
      <c r="O209" s="139"/>
      <c r="P209" s="139"/>
      <c r="Q209" s="139"/>
      <c r="R209" s="139"/>
    </row>
    <row r="210" spans="1:18" s="101" customFormat="1" x14ac:dyDescent="0.2">
      <c r="A210" s="90"/>
      <c r="B210" s="90"/>
      <c r="C210" s="90"/>
      <c r="D210" s="90"/>
      <c r="E210" s="90"/>
      <c r="F210" s="90"/>
      <c r="G210" s="90"/>
      <c r="H210" s="90"/>
      <c r="I210" s="90"/>
      <c r="K210" s="112"/>
      <c r="L210" s="139"/>
      <c r="M210" s="139"/>
      <c r="N210" s="139"/>
      <c r="O210" s="139"/>
      <c r="P210" s="139"/>
      <c r="Q210" s="139"/>
      <c r="R210" s="139"/>
    </row>
    <row r="211" spans="1:18" s="101" customFormat="1" x14ac:dyDescent="0.2">
      <c r="A211" s="90"/>
      <c r="B211" s="90"/>
      <c r="C211" s="90"/>
      <c r="D211" s="90"/>
      <c r="E211" s="90"/>
      <c r="F211" s="90"/>
      <c r="G211" s="90"/>
      <c r="H211" s="90"/>
      <c r="I211" s="90"/>
      <c r="K211" s="112"/>
      <c r="L211" s="139"/>
      <c r="M211" s="139"/>
      <c r="N211" s="139"/>
      <c r="O211" s="139"/>
      <c r="P211" s="139"/>
      <c r="Q211" s="139"/>
      <c r="R211" s="139"/>
    </row>
    <row r="212" spans="1:18" s="101" customFormat="1" x14ac:dyDescent="0.2">
      <c r="A212" s="90"/>
      <c r="B212" s="90"/>
      <c r="C212" s="90"/>
      <c r="D212" s="90"/>
      <c r="E212" s="90"/>
      <c r="F212" s="90"/>
      <c r="G212" s="90"/>
      <c r="H212" s="90"/>
      <c r="I212" s="90"/>
      <c r="K212" s="112"/>
      <c r="L212" s="139"/>
      <c r="M212" s="139"/>
      <c r="N212" s="139"/>
      <c r="O212" s="139"/>
      <c r="P212" s="139"/>
      <c r="Q212" s="139"/>
      <c r="R212" s="139"/>
    </row>
    <row r="213" spans="1:18" s="101" customFormat="1" x14ac:dyDescent="0.2">
      <c r="A213" s="90"/>
      <c r="B213" s="90"/>
      <c r="C213" s="90"/>
      <c r="D213" s="90"/>
      <c r="E213" s="90"/>
      <c r="F213" s="90"/>
      <c r="G213" s="90"/>
      <c r="H213" s="90"/>
      <c r="I213" s="90"/>
      <c r="K213" s="112"/>
      <c r="L213" s="139"/>
      <c r="M213" s="139"/>
      <c r="N213" s="139"/>
      <c r="O213" s="139"/>
      <c r="P213" s="139"/>
      <c r="Q213" s="139"/>
      <c r="R213" s="139"/>
    </row>
    <row r="214" spans="1:18" s="101" customFormat="1" x14ac:dyDescent="0.2">
      <c r="A214" s="90"/>
      <c r="B214" s="90"/>
      <c r="C214" s="90"/>
      <c r="D214" s="90"/>
      <c r="E214" s="90"/>
      <c r="F214" s="90"/>
      <c r="G214" s="90"/>
      <c r="H214" s="90"/>
      <c r="I214" s="90"/>
      <c r="K214" s="112"/>
      <c r="L214" s="139"/>
      <c r="M214" s="139"/>
      <c r="N214" s="139"/>
      <c r="O214" s="139"/>
      <c r="P214" s="139"/>
      <c r="Q214" s="139"/>
      <c r="R214" s="139"/>
    </row>
    <row r="215" spans="1:18" s="101" customFormat="1" x14ac:dyDescent="0.2">
      <c r="A215" s="90"/>
      <c r="B215" s="90"/>
      <c r="C215" s="90"/>
      <c r="D215" s="90"/>
      <c r="E215" s="90"/>
      <c r="F215" s="90"/>
      <c r="G215" s="90"/>
      <c r="H215" s="90"/>
      <c r="I215" s="90"/>
      <c r="K215" s="112"/>
      <c r="L215" s="139"/>
      <c r="M215" s="139"/>
      <c r="N215" s="139"/>
      <c r="O215" s="139"/>
      <c r="P215" s="139"/>
      <c r="Q215" s="139"/>
      <c r="R215" s="139"/>
    </row>
    <row r="216" spans="1:18" s="101" customFormat="1" x14ac:dyDescent="0.2">
      <c r="A216" s="90"/>
      <c r="B216" s="90"/>
      <c r="C216" s="90"/>
      <c r="D216" s="90"/>
      <c r="E216" s="90"/>
      <c r="F216" s="90"/>
      <c r="G216" s="90"/>
      <c r="H216" s="90"/>
      <c r="I216" s="90"/>
      <c r="K216" s="112"/>
      <c r="L216" s="139"/>
      <c r="M216" s="139"/>
      <c r="N216" s="139"/>
      <c r="O216" s="139"/>
      <c r="P216" s="139"/>
      <c r="Q216" s="139"/>
      <c r="R216" s="139"/>
    </row>
    <row r="217" spans="1:18" s="101" customFormat="1" x14ac:dyDescent="0.2">
      <c r="A217" s="90"/>
      <c r="B217" s="90"/>
      <c r="C217" s="90"/>
      <c r="D217" s="90"/>
      <c r="E217" s="90"/>
      <c r="F217" s="90"/>
      <c r="G217" s="90"/>
      <c r="H217" s="90"/>
      <c r="I217" s="90"/>
      <c r="K217" s="112"/>
      <c r="L217" s="139"/>
      <c r="M217" s="139"/>
      <c r="N217" s="139"/>
      <c r="O217" s="139"/>
      <c r="P217" s="139"/>
      <c r="Q217" s="139"/>
      <c r="R217" s="139"/>
    </row>
    <row r="218" spans="1:18" s="101" customFormat="1" x14ac:dyDescent="0.2">
      <c r="A218" s="90"/>
      <c r="B218" s="90"/>
      <c r="C218" s="90"/>
      <c r="D218" s="90"/>
      <c r="E218" s="90"/>
      <c r="F218" s="90"/>
      <c r="G218" s="90"/>
      <c r="H218" s="90"/>
      <c r="I218" s="90"/>
      <c r="K218" s="112"/>
      <c r="L218" s="139"/>
      <c r="M218" s="139"/>
      <c r="N218" s="139"/>
      <c r="O218" s="139"/>
      <c r="P218" s="139"/>
      <c r="Q218" s="139"/>
      <c r="R218" s="139"/>
    </row>
    <row r="219" spans="1:18" s="101" customFormat="1" x14ac:dyDescent="0.2">
      <c r="A219" s="90"/>
      <c r="B219" s="90"/>
      <c r="C219" s="90"/>
      <c r="D219" s="90"/>
      <c r="E219" s="90"/>
      <c r="F219" s="90"/>
      <c r="G219" s="90"/>
      <c r="H219" s="90"/>
      <c r="I219" s="90"/>
      <c r="K219" s="112"/>
      <c r="L219" s="139"/>
      <c r="M219" s="139"/>
      <c r="N219" s="139"/>
      <c r="O219" s="139"/>
      <c r="P219" s="139"/>
      <c r="Q219" s="139"/>
      <c r="R219" s="139"/>
    </row>
    <row r="220" spans="1:18" s="101" customFormat="1" x14ac:dyDescent="0.2">
      <c r="A220" s="90"/>
      <c r="B220" s="90"/>
      <c r="C220" s="90"/>
      <c r="D220" s="90"/>
      <c r="E220" s="90"/>
      <c r="F220" s="90"/>
      <c r="G220" s="90"/>
      <c r="H220" s="90"/>
      <c r="I220" s="90"/>
      <c r="K220" s="112"/>
      <c r="L220" s="139"/>
      <c r="M220" s="139"/>
      <c r="N220" s="139"/>
      <c r="O220" s="139"/>
      <c r="P220" s="139"/>
      <c r="Q220" s="139"/>
      <c r="R220" s="139"/>
    </row>
    <row r="221" spans="1:18" s="101" customFormat="1" x14ac:dyDescent="0.2">
      <c r="A221" s="90"/>
      <c r="B221" s="90"/>
      <c r="C221" s="90"/>
      <c r="D221" s="90"/>
      <c r="E221" s="90"/>
      <c r="F221" s="90"/>
      <c r="G221" s="90"/>
      <c r="H221" s="90"/>
      <c r="I221" s="90"/>
      <c r="K221" s="112"/>
      <c r="L221" s="139"/>
      <c r="M221" s="139"/>
      <c r="N221" s="139"/>
      <c r="O221" s="139"/>
      <c r="P221" s="139"/>
      <c r="Q221" s="139"/>
      <c r="R221" s="139"/>
    </row>
    <row r="222" spans="1:18" s="101" customFormat="1" x14ac:dyDescent="0.2">
      <c r="A222" s="90"/>
      <c r="B222" s="90"/>
      <c r="C222" s="90"/>
      <c r="D222" s="90"/>
      <c r="E222" s="90"/>
      <c r="F222" s="90"/>
      <c r="G222" s="90"/>
      <c r="H222" s="90"/>
      <c r="I222" s="90"/>
      <c r="K222" s="112"/>
      <c r="L222" s="139"/>
      <c r="M222" s="139"/>
      <c r="N222" s="139"/>
      <c r="O222" s="139"/>
      <c r="P222" s="139"/>
      <c r="Q222" s="139"/>
      <c r="R222" s="139"/>
    </row>
    <row r="223" spans="1:18" s="101" customFormat="1" x14ac:dyDescent="0.2">
      <c r="A223" s="90"/>
      <c r="B223" s="90"/>
      <c r="C223" s="90"/>
      <c r="D223" s="90"/>
      <c r="E223" s="90"/>
      <c r="F223" s="90"/>
      <c r="G223" s="90"/>
      <c r="H223" s="90"/>
      <c r="I223" s="90"/>
      <c r="K223" s="112"/>
      <c r="L223" s="139"/>
      <c r="M223" s="139"/>
      <c r="N223" s="139"/>
      <c r="O223" s="139"/>
      <c r="P223" s="139"/>
      <c r="Q223" s="139"/>
      <c r="R223" s="139"/>
    </row>
    <row r="224" spans="1:18" s="101" customFormat="1" x14ac:dyDescent="0.2">
      <c r="A224" s="90"/>
      <c r="B224" s="90"/>
      <c r="C224" s="90"/>
      <c r="D224" s="90"/>
      <c r="E224" s="90"/>
      <c r="F224" s="90"/>
      <c r="G224" s="90"/>
      <c r="H224" s="90"/>
      <c r="I224" s="90"/>
      <c r="K224" s="112"/>
      <c r="L224" s="139"/>
      <c r="M224" s="139"/>
      <c r="N224" s="139"/>
      <c r="O224" s="139"/>
      <c r="P224" s="139"/>
      <c r="Q224" s="139"/>
      <c r="R224" s="139"/>
    </row>
    <row r="225" spans="1:18" s="101" customFormat="1" x14ac:dyDescent="0.2">
      <c r="A225" s="90"/>
      <c r="B225" s="90"/>
      <c r="C225" s="90"/>
      <c r="D225" s="90"/>
      <c r="E225" s="90"/>
      <c r="F225" s="90"/>
      <c r="G225" s="90"/>
      <c r="H225" s="90"/>
      <c r="I225" s="90"/>
      <c r="K225" s="112"/>
      <c r="L225" s="139"/>
      <c r="M225" s="139"/>
      <c r="N225" s="139"/>
      <c r="O225" s="139"/>
      <c r="P225" s="139"/>
      <c r="Q225" s="139"/>
      <c r="R225" s="139"/>
    </row>
    <row r="226" spans="1:18" s="101" customFormat="1" x14ac:dyDescent="0.2">
      <c r="A226" s="90"/>
      <c r="B226" s="90"/>
      <c r="C226" s="90"/>
      <c r="D226" s="90"/>
      <c r="E226" s="90"/>
      <c r="F226" s="90"/>
      <c r="G226" s="90"/>
      <c r="H226" s="90"/>
      <c r="I226" s="90"/>
      <c r="K226" s="112"/>
      <c r="L226" s="139"/>
      <c r="M226" s="139"/>
      <c r="N226" s="139"/>
      <c r="O226" s="139"/>
      <c r="P226" s="139"/>
      <c r="Q226" s="139"/>
      <c r="R226" s="139"/>
    </row>
    <row r="227" spans="1:18" s="101" customFormat="1" x14ac:dyDescent="0.2">
      <c r="A227" s="90"/>
      <c r="B227" s="90"/>
      <c r="C227" s="90"/>
      <c r="D227" s="90"/>
      <c r="E227" s="90"/>
      <c r="F227" s="90"/>
      <c r="G227" s="90"/>
      <c r="H227" s="90"/>
      <c r="I227" s="90"/>
      <c r="K227" s="112"/>
      <c r="L227" s="139"/>
      <c r="M227" s="139"/>
      <c r="N227" s="139"/>
      <c r="O227" s="139"/>
      <c r="P227" s="139"/>
      <c r="Q227" s="139"/>
      <c r="R227" s="139"/>
    </row>
    <row r="228" spans="1:18" s="101" customFormat="1" x14ac:dyDescent="0.2">
      <c r="A228" s="90"/>
      <c r="B228" s="90"/>
      <c r="C228" s="90"/>
      <c r="D228" s="90"/>
      <c r="E228" s="90"/>
      <c r="F228" s="90"/>
      <c r="G228" s="90"/>
      <c r="H228" s="90"/>
      <c r="I228" s="90"/>
      <c r="K228" s="112"/>
      <c r="L228" s="139"/>
      <c r="M228" s="139"/>
      <c r="N228" s="139"/>
      <c r="O228" s="139"/>
      <c r="P228" s="139"/>
      <c r="Q228" s="139"/>
      <c r="R228" s="139"/>
    </row>
    <row r="229" spans="1:18" s="101" customFormat="1" x14ac:dyDescent="0.2">
      <c r="A229" s="90"/>
      <c r="B229" s="90"/>
      <c r="C229" s="90"/>
      <c r="D229" s="90"/>
      <c r="E229" s="90"/>
      <c r="F229" s="90"/>
      <c r="G229" s="90"/>
      <c r="H229" s="90"/>
      <c r="I229" s="90"/>
      <c r="K229" s="112"/>
      <c r="L229" s="139"/>
      <c r="M229" s="139"/>
      <c r="N229" s="139"/>
      <c r="O229" s="139"/>
      <c r="P229" s="139"/>
      <c r="Q229" s="139"/>
      <c r="R229" s="139"/>
    </row>
    <row r="230" spans="1:18" s="101" customFormat="1" x14ac:dyDescent="0.2">
      <c r="A230" s="90"/>
      <c r="B230" s="90"/>
      <c r="C230" s="90"/>
      <c r="D230" s="90"/>
      <c r="E230" s="90"/>
      <c r="F230" s="90"/>
      <c r="G230" s="90"/>
      <c r="H230" s="90"/>
      <c r="I230" s="90"/>
      <c r="K230" s="112"/>
      <c r="L230" s="139"/>
      <c r="M230" s="139"/>
      <c r="N230" s="139"/>
      <c r="O230" s="139"/>
      <c r="P230" s="139"/>
      <c r="Q230" s="139"/>
      <c r="R230" s="139"/>
    </row>
    <row r="231" spans="1:18" s="101" customFormat="1" x14ac:dyDescent="0.2">
      <c r="A231" s="90"/>
      <c r="B231" s="90"/>
      <c r="C231" s="90"/>
      <c r="D231" s="90"/>
      <c r="E231" s="90"/>
      <c r="F231" s="90"/>
      <c r="G231" s="90"/>
      <c r="H231" s="90"/>
      <c r="I231" s="90"/>
      <c r="K231" s="112"/>
      <c r="L231" s="139"/>
      <c r="M231" s="139"/>
      <c r="N231" s="139"/>
      <c r="O231" s="139"/>
      <c r="P231" s="139"/>
      <c r="Q231" s="139"/>
      <c r="R231" s="139"/>
    </row>
    <row r="232" spans="1:18" s="101" customFormat="1" x14ac:dyDescent="0.2">
      <c r="A232" s="90"/>
      <c r="B232" s="90"/>
      <c r="C232" s="90"/>
      <c r="D232" s="90"/>
      <c r="E232" s="90"/>
      <c r="F232" s="90"/>
      <c r="G232" s="90"/>
      <c r="H232" s="90"/>
      <c r="I232" s="90"/>
      <c r="K232" s="112"/>
      <c r="L232" s="139"/>
      <c r="M232" s="139"/>
      <c r="N232" s="139"/>
      <c r="O232" s="139"/>
      <c r="P232" s="139"/>
      <c r="Q232" s="139"/>
      <c r="R232" s="139"/>
    </row>
    <row r="233" spans="1:18" s="101" customFormat="1" x14ac:dyDescent="0.2">
      <c r="A233" s="90"/>
      <c r="B233" s="90"/>
      <c r="C233" s="90"/>
      <c r="D233" s="90"/>
      <c r="E233" s="90"/>
      <c r="F233" s="90"/>
      <c r="G233" s="90"/>
      <c r="H233" s="90"/>
      <c r="I233" s="90"/>
      <c r="K233" s="112"/>
      <c r="L233" s="139"/>
      <c r="M233" s="139"/>
      <c r="N233" s="139"/>
      <c r="O233" s="139"/>
      <c r="P233" s="139"/>
      <c r="Q233" s="139"/>
      <c r="R233" s="139"/>
    </row>
    <row r="234" spans="1:18" s="101" customFormat="1" x14ac:dyDescent="0.2">
      <c r="A234" s="90"/>
      <c r="B234" s="90"/>
      <c r="C234" s="90"/>
      <c r="D234" s="90"/>
      <c r="E234" s="90"/>
      <c r="F234" s="90"/>
      <c r="G234" s="90"/>
      <c r="H234" s="90"/>
      <c r="I234" s="90"/>
      <c r="K234" s="112"/>
      <c r="L234" s="139"/>
      <c r="M234" s="139"/>
      <c r="N234" s="139"/>
      <c r="O234" s="139"/>
      <c r="P234" s="139"/>
      <c r="Q234" s="139"/>
      <c r="R234" s="139"/>
    </row>
    <row r="235" spans="1:18" s="101" customFormat="1" x14ac:dyDescent="0.2">
      <c r="A235" s="90"/>
      <c r="B235" s="90"/>
      <c r="C235" s="90"/>
      <c r="D235" s="90"/>
      <c r="E235" s="90"/>
      <c r="F235" s="90"/>
      <c r="G235" s="90"/>
      <c r="H235" s="90"/>
      <c r="I235" s="90"/>
      <c r="K235" s="112"/>
      <c r="L235" s="139"/>
      <c r="M235" s="139"/>
      <c r="N235" s="139"/>
      <c r="O235" s="139"/>
      <c r="P235" s="139"/>
      <c r="Q235" s="139"/>
      <c r="R235" s="139"/>
    </row>
    <row r="236" spans="1:18" s="101" customFormat="1" x14ac:dyDescent="0.2">
      <c r="A236" s="90"/>
      <c r="B236" s="90"/>
      <c r="C236" s="90"/>
      <c r="D236" s="90"/>
      <c r="E236" s="90"/>
      <c r="F236" s="90"/>
      <c r="G236" s="90"/>
      <c r="H236" s="90"/>
      <c r="I236" s="90"/>
      <c r="K236" s="112"/>
      <c r="L236" s="139"/>
      <c r="M236" s="139"/>
      <c r="N236" s="139"/>
      <c r="O236" s="139"/>
      <c r="P236" s="139"/>
      <c r="Q236" s="139"/>
      <c r="R236" s="139"/>
    </row>
    <row r="237" spans="1:18" s="101" customFormat="1" x14ac:dyDescent="0.2">
      <c r="A237" s="90"/>
      <c r="B237" s="90"/>
      <c r="C237" s="90"/>
      <c r="D237" s="90"/>
      <c r="E237" s="90"/>
      <c r="F237" s="90"/>
      <c r="G237" s="90"/>
      <c r="H237" s="90"/>
      <c r="I237" s="90"/>
      <c r="K237" s="112"/>
      <c r="L237" s="139"/>
      <c r="M237" s="139"/>
      <c r="N237" s="139"/>
      <c r="O237" s="139"/>
      <c r="P237" s="139"/>
      <c r="Q237" s="139"/>
      <c r="R237" s="139"/>
    </row>
    <row r="238" spans="1:18" s="101" customFormat="1" x14ac:dyDescent="0.2">
      <c r="A238" s="90"/>
      <c r="B238" s="90"/>
      <c r="C238" s="90"/>
      <c r="D238" s="90"/>
      <c r="E238" s="90"/>
      <c r="F238" s="90"/>
      <c r="G238" s="90"/>
      <c r="H238" s="90"/>
      <c r="I238" s="90"/>
      <c r="K238" s="112"/>
      <c r="L238" s="139"/>
      <c r="M238" s="139"/>
      <c r="N238" s="139"/>
      <c r="O238" s="139"/>
      <c r="P238" s="139"/>
      <c r="Q238" s="139"/>
      <c r="R238" s="139"/>
    </row>
    <row r="239" spans="1:18" s="101" customFormat="1" x14ac:dyDescent="0.2">
      <c r="A239" s="90"/>
      <c r="B239" s="90"/>
      <c r="C239" s="90"/>
      <c r="D239" s="90"/>
      <c r="E239" s="90"/>
      <c r="F239" s="90"/>
      <c r="G239" s="90"/>
      <c r="H239" s="90"/>
      <c r="I239" s="90"/>
      <c r="K239" s="112"/>
      <c r="L239" s="139"/>
      <c r="M239" s="139"/>
      <c r="N239" s="139"/>
      <c r="O239" s="139"/>
      <c r="P239" s="139"/>
      <c r="Q239" s="139"/>
      <c r="R239" s="139"/>
    </row>
    <row r="240" spans="1:18" s="101" customFormat="1" x14ac:dyDescent="0.2">
      <c r="A240" s="90"/>
      <c r="B240" s="90"/>
      <c r="C240" s="90"/>
      <c r="D240" s="90"/>
      <c r="E240" s="90"/>
      <c r="F240" s="90"/>
      <c r="G240" s="90"/>
      <c r="H240" s="90"/>
      <c r="I240" s="90"/>
      <c r="K240" s="112"/>
      <c r="L240" s="139"/>
      <c r="M240" s="139"/>
      <c r="N240" s="139"/>
      <c r="O240" s="139"/>
      <c r="P240" s="139"/>
      <c r="Q240" s="139"/>
      <c r="R240" s="139"/>
    </row>
    <row r="241" spans="1:18" s="101" customFormat="1" x14ac:dyDescent="0.2">
      <c r="A241" s="90"/>
      <c r="B241" s="90"/>
      <c r="C241" s="90"/>
      <c r="D241" s="90"/>
      <c r="E241" s="90"/>
      <c r="F241" s="90"/>
      <c r="G241" s="90"/>
      <c r="H241" s="90"/>
      <c r="I241" s="90"/>
      <c r="K241" s="112"/>
      <c r="L241" s="139"/>
      <c r="M241" s="139"/>
      <c r="N241" s="139"/>
      <c r="O241" s="139"/>
      <c r="P241" s="139"/>
      <c r="Q241" s="139"/>
      <c r="R241" s="139"/>
    </row>
    <row r="242" spans="1:18" s="101" customFormat="1" x14ac:dyDescent="0.2">
      <c r="A242" s="90"/>
      <c r="B242" s="90"/>
      <c r="C242" s="90"/>
      <c r="D242" s="90"/>
      <c r="E242" s="90"/>
      <c r="F242" s="90"/>
      <c r="G242" s="90"/>
      <c r="H242" s="90"/>
      <c r="I242" s="90"/>
      <c r="K242" s="112"/>
      <c r="L242" s="139"/>
      <c r="M242" s="139"/>
      <c r="N242" s="139"/>
      <c r="O242" s="139"/>
      <c r="P242" s="139"/>
      <c r="Q242" s="139"/>
      <c r="R242" s="139"/>
    </row>
    <row r="243" spans="1:18" s="101" customFormat="1" x14ac:dyDescent="0.2">
      <c r="A243" s="90"/>
      <c r="B243" s="90"/>
      <c r="C243" s="90"/>
      <c r="D243" s="90"/>
      <c r="E243" s="90"/>
      <c r="F243" s="90"/>
      <c r="G243" s="90"/>
      <c r="H243" s="90"/>
      <c r="I243" s="90"/>
      <c r="K243" s="112"/>
      <c r="L243" s="139"/>
      <c r="M243" s="139"/>
      <c r="N243" s="139"/>
      <c r="O243" s="139"/>
      <c r="P243" s="139"/>
      <c r="Q243" s="139"/>
      <c r="R243" s="139"/>
    </row>
    <row r="244" spans="1:18" s="101" customFormat="1" x14ac:dyDescent="0.2">
      <c r="A244" s="90"/>
      <c r="B244" s="90"/>
      <c r="C244" s="90"/>
      <c r="D244" s="90"/>
      <c r="E244" s="90"/>
      <c r="F244" s="90"/>
      <c r="G244" s="90"/>
      <c r="H244" s="90"/>
      <c r="I244" s="90"/>
      <c r="K244" s="112"/>
      <c r="L244" s="139"/>
      <c r="M244" s="139"/>
      <c r="N244" s="139"/>
      <c r="O244" s="139"/>
      <c r="P244" s="139"/>
      <c r="Q244" s="139"/>
      <c r="R244" s="139"/>
    </row>
    <row r="245" spans="1:18" s="101" customFormat="1" x14ac:dyDescent="0.2">
      <c r="A245" s="90"/>
      <c r="B245" s="90"/>
      <c r="C245" s="90"/>
      <c r="D245" s="90"/>
      <c r="E245" s="90"/>
      <c r="F245" s="90"/>
      <c r="G245" s="90"/>
      <c r="H245" s="90"/>
      <c r="I245" s="90"/>
      <c r="K245" s="112"/>
      <c r="L245" s="139"/>
      <c r="M245" s="139"/>
      <c r="N245" s="139"/>
      <c r="O245" s="139"/>
      <c r="P245" s="139"/>
      <c r="Q245" s="139"/>
      <c r="R245" s="139"/>
    </row>
    <row r="246" spans="1:18" s="101" customFormat="1" x14ac:dyDescent="0.2">
      <c r="A246" s="90"/>
      <c r="B246" s="90"/>
      <c r="C246" s="90"/>
      <c r="D246" s="90"/>
      <c r="E246" s="90"/>
      <c r="F246" s="90"/>
      <c r="G246" s="90"/>
      <c r="H246" s="90"/>
      <c r="I246" s="90"/>
      <c r="K246" s="112"/>
      <c r="L246" s="139"/>
      <c r="M246" s="139"/>
      <c r="N246" s="139"/>
      <c r="O246" s="139"/>
      <c r="P246" s="139"/>
      <c r="Q246" s="139"/>
      <c r="R246" s="139"/>
    </row>
    <row r="247" spans="1:18" s="101" customFormat="1" x14ac:dyDescent="0.2">
      <c r="A247" s="90"/>
      <c r="B247" s="90"/>
      <c r="C247" s="90"/>
      <c r="D247" s="90"/>
      <c r="E247" s="90"/>
      <c r="F247" s="90"/>
      <c r="G247" s="90"/>
      <c r="H247" s="90"/>
      <c r="I247" s="90"/>
      <c r="K247" s="112"/>
      <c r="L247" s="139"/>
      <c r="M247" s="139"/>
      <c r="N247" s="139"/>
      <c r="O247" s="139"/>
      <c r="P247" s="139"/>
      <c r="Q247" s="139"/>
      <c r="R247" s="139"/>
    </row>
    <row r="248" spans="1:18" s="101" customFormat="1" x14ac:dyDescent="0.2">
      <c r="A248" s="90"/>
      <c r="B248" s="90"/>
      <c r="C248" s="90"/>
      <c r="D248" s="90"/>
      <c r="E248" s="90"/>
      <c r="F248" s="90"/>
      <c r="G248" s="90"/>
      <c r="H248" s="90"/>
      <c r="I248" s="90"/>
      <c r="K248" s="112"/>
      <c r="L248" s="139"/>
      <c r="M248" s="139"/>
      <c r="N248" s="139"/>
      <c r="O248" s="139"/>
      <c r="P248" s="139"/>
      <c r="Q248" s="139"/>
      <c r="R248" s="139"/>
    </row>
    <row r="249" spans="1:18" s="101" customFormat="1" x14ac:dyDescent="0.2">
      <c r="A249" s="90"/>
      <c r="B249" s="90"/>
      <c r="C249" s="90"/>
      <c r="D249" s="90"/>
      <c r="E249" s="90"/>
      <c r="F249" s="90"/>
      <c r="G249" s="90"/>
      <c r="H249" s="90"/>
      <c r="I249" s="90"/>
      <c r="K249" s="112"/>
      <c r="L249" s="139"/>
      <c r="M249" s="139"/>
      <c r="N249" s="139"/>
      <c r="O249" s="139"/>
      <c r="P249" s="139"/>
      <c r="Q249" s="139"/>
      <c r="R249" s="139"/>
    </row>
    <row r="250" spans="1:18" s="101" customFormat="1" x14ac:dyDescent="0.2">
      <c r="A250" s="90"/>
      <c r="B250" s="90"/>
      <c r="C250" s="90"/>
      <c r="D250" s="90"/>
      <c r="E250" s="90"/>
      <c r="F250" s="90"/>
      <c r="G250" s="90"/>
      <c r="H250" s="90"/>
      <c r="I250" s="90"/>
      <c r="K250" s="112"/>
      <c r="L250" s="139"/>
      <c r="M250" s="139"/>
      <c r="N250" s="139"/>
      <c r="O250" s="139"/>
      <c r="P250" s="139"/>
      <c r="Q250" s="139"/>
      <c r="R250" s="139"/>
    </row>
    <row r="251" spans="1:18" s="101" customFormat="1" x14ac:dyDescent="0.2">
      <c r="A251" s="90"/>
      <c r="B251" s="90"/>
      <c r="C251" s="90"/>
      <c r="D251" s="90"/>
      <c r="E251" s="90"/>
      <c r="F251" s="90"/>
      <c r="G251" s="90"/>
      <c r="H251" s="90"/>
      <c r="I251" s="90"/>
      <c r="K251" s="112"/>
      <c r="L251" s="139"/>
      <c r="M251" s="139"/>
      <c r="N251" s="139"/>
      <c r="O251" s="139"/>
      <c r="P251" s="139"/>
      <c r="Q251" s="139"/>
      <c r="R251" s="139"/>
    </row>
    <row r="252" spans="1:18" s="101" customFormat="1" x14ac:dyDescent="0.2">
      <c r="A252" s="90"/>
      <c r="B252" s="90"/>
      <c r="C252" s="90"/>
      <c r="D252" s="90"/>
      <c r="E252" s="90"/>
      <c r="F252" s="90"/>
      <c r="G252" s="90"/>
      <c r="H252" s="90"/>
      <c r="I252" s="90"/>
      <c r="K252" s="112"/>
      <c r="L252" s="139"/>
      <c r="M252" s="139"/>
      <c r="N252" s="139"/>
      <c r="O252" s="139"/>
      <c r="P252" s="139"/>
      <c r="Q252" s="139"/>
      <c r="R252" s="139"/>
    </row>
    <row r="253" spans="1:18" s="101" customFormat="1" x14ac:dyDescent="0.2">
      <c r="A253" s="90"/>
      <c r="B253" s="90"/>
      <c r="C253" s="90"/>
      <c r="D253" s="90"/>
      <c r="E253" s="90"/>
      <c r="F253" s="90"/>
      <c r="G253" s="90"/>
      <c r="H253" s="90"/>
      <c r="I253" s="90"/>
      <c r="K253" s="112"/>
      <c r="L253" s="139"/>
      <c r="M253" s="139"/>
      <c r="N253" s="139"/>
      <c r="O253" s="139"/>
      <c r="P253" s="139"/>
      <c r="Q253" s="139"/>
      <c r="R253" s="139"/>
    </row>
    <row r="254" spans="1:18" s="101" customFormat="1" x14ac:dyDescent="0.2">
      <c r="A254" s="90"/>
      <c r="B254" s="90"/>
      <c r="C254" s="90"/>
      <c r="D254" s="90"/>
      <c r="E254" s="90"/>
      <c r="F254" s="90"/>
      <c r="G254" s="90"/>
      <c r="H254" s="90"/>
      <c r="I254" s="90"/>
      <c r="K254" s="112"/>
      <c r="L254" s="139"/>
      <c r="M254" s="139"/>
      <c r="N254" s="139"/>
      <c r="O254" s="139"/>
      <c r="P254" s="139"/>
      <c r="Q254" s="139"/>
      <c r="R254" s="139"/>
    </row>
    <row r="255" spans="1:18" s="101" customFormat="1" x14ac:dyDescent="0.2">
      <c r="A255" s="90"/>
      <c r="B255" s="90"/>
      <c r="C255" s="90"/>
      <c r="D255" s="90"/>
      <c r="E255" s="90"/>
      <c r="F255" s="90"/>
      <c r="G255" s="90"/>
      <c r="H255" s="90"/>
      <c r="I255" s="90"/>
      <c r="K255" s="112"/>
      <c r="L255" s="139"/>
      <c r="M255" s="139"/>
      <c r="N255" s="139"/>
      <c r="O255" s="139"/>
      <c r="P255" s="139"/>
      <c r="Q255" s="139"/>
      <c r="R255" s="139"/>
    </row>
    <row r="256" spans="1:18" s="101" customFormat="1" x14ac:dyDescent="0.2">
      <c r="A256" s="90"/>
      <c r="B256" s="90"/>
      <c r="C256" s="90"/>
      <c r="D256" s="90"/>
      <c r="E256" s="90"/>
      <c r="F256" s="90"/>
      <c r="G256" s="90"/>
      <c r="H256" s="90"/>
      <c r="I256" s="90"/>
      <c r="K256" s="112"/>
      <c r="L256" s="139"/>
      <c r="M256" s="139"/>
      <c r="N256" s="139"/>
      <c r="O256" s="139"/>
      <c r="P256" s="139"/>
      <c r="Q256" s="139"/>
      <c r="R256" s="139"/>
    </row>
    <row r="257" spans="1:18" s="101" customFormat="1" x14ac:dyDescent="0.2">
      <c r="A257" s="90"/>
      <c r="B257" s="90"/>
      <c r="C257" s="90"/>
      <c r="D257" s="90"/>
      <c r="E257" s="90"/>
      <c r="F257" s="90"/>
      <c r="G257" s="90"/>
      <c r="H257" s="90"/>
      <c r="I257" s="90"/>
      <c r="K257" s="112"/>
      <c r="L257" s="139"/>
      <c r="M257" s="139"/>
      <c r="N257" s="139"/>
      <c r="O257" s="139"/>
      <c r="P257" s="139"/>
      <c r="Q257" s="139"/>
      <c r="R257" s="139"/>
    </row>
    <row r="258" spans="1:18" s="101" customFormat="1" x14ac:dyDescent="0.2">
      <c r="A258" s="90"/>
      <c r="B258" s="90"/>
      <c r="C258" s="90"/>
      <c r="D258" s="90"/>
      <c r="E258" s="90"/>
      <c r="F258" s="90"/>
      <c r="G258" s="90"/>
      <c r="H258" s="90"/>
      <c r="I258" s="90"/>
      <c r="K258" s="112"/>
      <c r="L258" s="139"/>
      <c r="M258" s="139"/>
      <c r="N258" s="139"/>
      <c r="O258" s="139"/>
      <c r="P258" s="139"/>
      <c r="Q258" s="139"/>
      <c r="R258" s="139"/>
    </row>
    <row r="259" spans="1:18" s="101" customFormat="1" x14ac:dyDescent="0.2">
      <c r="A259" s="90"/>
      <c r="B259" s="90"/>
      <c r="C259" s="90"/>
      <c r="D259" s="90"/>
      <c r="E259" s="90"/>
      <c r="F259" s="90"/>
      <c r="G259" s="90"/>
      <c r="H259" s="90"/>
      <c r="I259" s="90"/>
      <c r="K259" s="112"/>
      <c r="L259" s="139"/>
      <c r="M259" s="139"/>
      <c r="N259" s="139"/>
      <c r="O259" s="139"/>
      <c r="P259" s="139"/>
      <c r="Q259" s="139"/>
      <c r="R259" s="139"/>
    </row>
    <row r="260" spans="1:18" s="101" customFormat="1" x14ac:dyDescent="0.2">
      <c r="A260" s="90"/>
      <c r="B260" s="90"/>
      <c r="C260" s="90"/>
      <c r="D260" s="90"/>
      <c r="E260" s="90"/>
      <c r="F260" s="90"/>
      <c r="G260" s="90"/>
      <c r="H260" s="90"/>
      <c r="I260" s="90"/>
      <c r="K260" s="112"/>
      <c r="L260" s="139"/>
      <c r="M260" s="139"/>
      <c r="N260" s="139"/>
      <c r="O260" s="139"/>
      <c r="P260" s="139"/>
      <c r="Q260" s="139"/>
      <c r="R260" s="139"/>
    </row>
    <row r="261" spans="1:18" s="101" customFormat="1" x14ac:dyDescent="0.2">
      <c r="A261" s="90"/>
      <c r="B261" s="90"/>
      <c r="C261" s="90"/>
      <c r="D261" s="90"/>
      <c r="E261" s="90"/>
      <c r="F261" s="90"/>
      <c r="G261" s="90"/>
      <c r="H261" s="90"/>
      <c r="I261" s="90"/>
      <c r="K261" s="112"/>
      <c r="L261" s="139"/>
      <c r="M261" s="139"/>
      <c r="N261" s="139"/>
      <c r="O261" s="139"/>
      <c r="P261" s="139"/>
      <c r="Q261" s="139"/>
      <c r="R261" s="139"/>
    </row>
    <row r="262" spans="1:18" s="101" customFormat="1" x14ac:dyDescent="0.2">
      <c r="A262" s="90"/>
      <c r="B262" s="90"/>
      <c r="C262" s="90"/>
      <c r="D262" s="90"/>
      <c r="E262" s="90"/>
      <c r="F262" s="90"/>
      <c r="G262" s="90"/>
      <c r="H262" s="90"/>
      <c r="I262" s="90"/>
      <c r="K262" s="112"/>
      <c r="L262" s="139"/>
      <c r="M262" s="139"/>
      <c r="N262" s="139"/>
      <c r="O262" s="139"/>
      <c r="P262" s="139"/>
      <c r="Q262" s="139"/>
      <c r="R262" s="139"/>
    </row>
    <row r="263" spans="1:18" s="101" customFormat="1" x14ac:dyDescent="0.2">
      <c r="A263" s="90"/>
      <c r="B263" s="90"/>
      <c r="C263" s="90"/>
      <c r="D263" s="90"/>
      <c r="E263" s="90"/>
      <c r="F263" s="90"/>
      <c r="G263" s="90"/>
      <c r="H263" s="90"/>
      <c r="I263" s="90"/>
      <c r="K263" s="112"/>
      <c r="L263" s="139"/>
      <c r="M263" s="139"/>
      <c r="N263" s="139"/>
      <c r="O263" s="139"/>
      <c r="P263" s="139"/>
      <c r="Q263" s="139"/>
      <c r="R263" s="139"/>
    </row>
    <row r="264" spans="1:18" s="101" customFormat="1" x14ac:dyDescent="0.2">
      <c r="A264" s="90"/>
      <c r="B264" s="90"/>
      <c r="C264" s="90"/>
      <c r="D264" s="90"/>
      <c r="E264" s="90"/>
      <c r="F264" s="90"/>
      <c r="G264" s="90"/>
      <c r="H264" s="90"/>
      <c r="I264" s="90"/>
      <c r="K264" s="112"/>
      <c r="L264" s="139"/>
      <c r="M264" s="139"/>
      <c r="N264" s="139"/>
      <c r="O264" s="139"/>
      <c r="P264" s="139"/>
      <c r="Q264" s="139"/>
      <c r="R264" s="139"/>
    </row>
    <row r="265" spans="1:18" s="101" customFormat="1" x14ac:dyDescent="0.2">
      <c r="A265" s="90"/>
      <c r="B265" s="90"/>
      <c r="C265" s="90"/>
      <c r="D265" s="90"/>
      <c r="E265" s="90"/>
      <c r="F265" s="90"/>
      <c r="G265" s="90"/>
      <c r="H265" s="90"/>
      <c r="I265" s="90"/>
      <c r="K265" s="112"/>
      <c r="L265" s="139"/>
      <c r="M265" s="139"/>
      <c r="N265" s="139"/>
      <c r="O265" s="139"/>
      <c r="P265" s="139"/>
      <c r="Q265" s="139"/>
      <c r="R265" s="139"/>
    </row>
    <row r="266" spans="1:18" s="101" customFormat="1" x14ac:dyDescent="0.2">
      <c r="A266" s="90"/>
      <c r="B266" s="90"/>
      <c r="C266" s="90"/>
      <c r="D266" s="90"/>
      <c r="E266" s="90"/>
      <c r="F266" s="90"/>
      <c r="G266" s="90"/>
      <c r="H266" s="90"/>
      <c r="I266" s="90"/>
      <c r="K266" s="112"/>
      <c r="L266" s="139"/>
      <c r="M266" s="139"/>
      <c r="N266" s="139"/>
      <c r="O266" s="139"/>
      <c r="P266" s="139"/>
      <c r="Q266" s="139"/>
      <c r="R266" s="139"/>
    </row>
    <row r="267" spans="1:18" s="101" customFormat="1" x14ac:dyDescent="0.2">
      <c r="A267" s="90"/>
      <c r="B267" s="90"/>
      <c r="C267" s="90"/>
      <c r="D267" s="90"/>
      <c r="E267" s="90"/>
      <c r="F267" s="90"/>
      <c r="G267" s="90"/>
      <c r="H267" s="90"/>
      <c r="I267" s="90"/>
      <c r="K267" s="112"/>
      <c r="L267" s="139"/>
      <c r="M267" s="139"/>
      <c r="N267" s="139"/>
      <c r="O267" s="139"/>
      <c r="P267" s="139"/>
      <c r="Q267" s="139"/>
      <c r="R267" s="139"/>
    </row>
    <row r="268" spans="1:18" s="101" customFormat="1" x14ac:dyDescent="0.2">
      <c r="A268" s="90"/>
      <c r="B268" s="90"/>
      <c r="C268" s="90"/>
      <c r="D268" s="90"/>
      <c r="E268" s="90"/>
      <c r="F268" s="90"/>
      <c r="G268" s="90"/>
      <c r="H268" s="90"/>
      <c r="I268" s="90"/>
      <c r="K268" s="112"/>
      <c r="L268" s="139"/>
      <c r="M268" s="139"/>
      <c r="N268" s="139"/>
      <c r="O268" s="139"/>
      <c r="P268" s="139"/>
      <c r="Q268" s="139"/>
      <c r="R268" s="139"/>
    </row>
    <row r="269" spans="1:18" s="101" customFormat="1" x14ac:dyDescent="0.2">
      <c r="A269" s="90"/>
      <c r="B269" s="90"/>
      <c r="C269" s="90"/>
      <c r="D269" s="90"/>
      <c r="E269" s="90"/>
      <c r="F269" s="90"/>
      <c r="G269" s="90"/>
      <c r="H269" s="90"/>
      <c r="I269" s="90"/>
      <c r="K269" s="112"/>
      <c r="L269" s="139"/>
      <c r="M269" s="139"/>
      <c r="N269" s="139"/>
      <c r="O269" s="139"/>
      <c r="P269" s="139"/>
      <c r="Q269" s="139"/>
      <c r="R269" s="139"/>
    </row>
    <row r="270" spans="1:18" s="101" customFormat="1" x14ac:dyDescent="0.2">
      <c r="A270" s="90"/>
      <c r="B270" s="90"/>
      <c r="C270" s="90"/>
      <c r="D270" s="90"/>
      <c r="E270" s="90"/>
      <c r="F270" s="90"/>
      <c r="G270" s="90"/>
      <c r="H270" s="90"/>
      <c r="I270" s="90"/>
      <c r="K270" s="112"/>
      <c r="L270" s="139"/>
      <c r="M270" s="139"/>
      <c r="N270" s="139"/>
      <c r="O270" s="139"/>
      <c r="P270" s="139"/>
      <c r="Q270" s="139"/>
      <c r="R270" s="139"/>
    </row>
    <row r="271" spans="1:18" s="101" customFormat="1" x14ac:dyDescent="0.2">
      <c r="A271" s="90"/>
      <c r="B271" s="90"/>
      <c r="C271" s="90"/>
      <c r="D271" s="90"/>
      <c r="E271" s="90"/>
      <c r="F271" s="90"/>
      <c r="G271" s="90"/>
      <c r="H271" s="90"/>
      <c r="I271" s="90"/>
      <c r="K271" s="112"/>
      <c r="L271" s="139"/>
      <c r="M271" s="139"/>
      <c r="N271" s="139"/>
      <c r="O271" s="139"/>
      <c r="P271" s="139"/>
      <c r="Q271" s="139"/>
      <c r="R271" s="139"/>
    </row>
    <row r="272" spans="1:18" s="101" customFormat="1" x14ac:dyDescent="0.2">
      <c r="A272" s="90"/>
      <c r="B272" s="90"/>
      <c r="C272" s="90"/>
      <c r="D272" s="90"/>
      <c r="E272" s="90"/>
      <c r="F272" s="90"/>
      <c r="G272" s="90"/>
      <c r="H272" s="90"/>
      <c r="I272" s="90"/>
      <c r="K272" s="112"/>
      <c r="L272" s="139"/>
      <c r="M272" s="139"/>
      <c r="N272" s="139"/>
      <c r="O272" s="139"/>
      <c r="P272" s="139"/>
      <c r="Q272" s="139"/>
      <c r="R272" s="139"/>
    </row>
    <row r="273" spans="1:18" s="101" customFormat="1" x14ac:dyDescent="0.2">
      <c r="A273" s="90"/>
      <c r="B273" s="90"/>
      <c r="C273" s="90"/>
      <c r="D273" s="90"/>
      <c r="E273" s="90"/>
      <c r="F273" s="90"/>
      <c r="G273" s="90"/>
      <c r="H273" s="90"/>
      <c r="I273" s="90"/>
      <c r="K273" s="112"/>
      <c r="L273" s="139"/>
      <c r="M273" s="139"/>
      <c r="N273" s="139"/>
      <c r="O273" s="139"/>
      <c r="P273" s="139"/>
      <c r="Q273" s="139"/>
      <c r="R273" s="139"/>
    </row>
    <row r="274" spans="1:18" s="101" customFormat="1" x14ac:dyDescent="0.2">
      <c r="A274" s="90"/>
      <c r="B274" s="90"/>
      <c r="C274" s="90"/>
      <c r="D274" s="90"/>
      <c r="E274" s="90"/>
      <c r="F274" s="90"/>
      <c r="G274" s="90"/>
      <c r="H274" s="90"/>
      <c r="I274" s="90"/>
      <c r="K274" s="112"/>
      <c r="L274" s="139"/>
      <c r="M274" s="139"/>
      <c r="N274" s="139"/>
      <c r="O274" s="139"/>
      <c r="P274" s="139"/>
      <c r="Q274" s="139"/>
      <c r="R274" s="139"/>
    </row>
    <row r="275" spans="1:18" s="101" customFormat="1" x14ac:dyDescent="0.2">
      <c r="A275" s="90"/>
      <c r="B275" s="90"/>
      <c r="C275" s="90"/>
      <c r="D275" s="90"/>
      <c r="E275" s="90"/>
      <c r="F275" s="90"/>
      <c r="G275" s="90"/>
      <c r="H275" s="90"/>
      <c r="I275" s="90"/>
      <c r="K275" s="112"/>
      <c r="L275" s="139"/>
      <c r="M275" s="139"/>
      <c r="N275" s="139"/>
      <c r="O275" s="139"/>
      <c r="P275" s="139"/>
      <c r="Q275" s="139"/>
      <c r="R275" s="139"/>
    </row>
    <row r="276" spans="1:18" s="101" customFormat="1" x14ac:dyDescent="0.2">
      <c r="A276" s="90"/>
      <c r="B276" s="90"/>
      <c r="C276" s="90"/>
      <c r="D276" s="90"/>
      <c r="E276" s="90"/>
      <c r="F276" s="90"/>
      <c r="G276" s="90"/>
      <c r="H276" s="90"/>
      <c r="I276" s="90"/>
      <c r="K276" s="112"/>
      <c r="L276" s="139"/>
      <c r="M276" s="139"/>
      <c r="N276" s="139"/>
      <c r="O276" s="139"/>
      <c r="P276" s="139"/>
      <c r="Q276" s="139"/>
      <c r="R276" s="139"/>
    </row>
    <row r="277" spans="1:18" s="101" customFormat="1" x14ac:dyDescent="0.2">
      <c r="A277" s="90"/>
      <c r="B277" s="90"/>
      <c r="C277" s="90"/>
      <c r="D277" s="90"/>
      <c r="E277" s="90"/>
      <c r="F277" s="90"/>
      <c r="G277" s="90"/>
      <c r="H277" s="90"/>
      <c r="I277" s="90"/>
      <c r="K277" s="112"/>
      <c r="L277" s="139"/>
      <c r="M277" s="139"/>
      <c r="N277" s="139"/>
      <c r="O277" s="139"/>
      <c r="P277" s="139"/>
      <c r="Q277" s="139"/>
      <c r="R277" s="139"/>
    </row>
    <row r="278" spans="1:18" s="101" customFormat="1" x14ac:dyDescent="0.2">
      <c r="A278" s="90"/>
      <c r="B278" s="90"/>
      <c r="C278" s="90"/>
      <c r="D278" s="90"/>
      <c r="E278" s="90"/>
      <c r="F278" s="90"/>
      <c r="G278" s="90"/>
      <c r="H278" s="90"/>
      <c r="I278" s="90"/>
      <c r="K278" s="112"/>
      <c r="L278" s="139"/>
      <c r="M278" s="139"/>
      <c r="N278" s="139"/>
      <c r="O278" s="139"/>
      <c r="P278" s="139"/>
      <c r="Q278" s="139"/>
      <c r="R278" s="139"/>
    </row>
    <row r="279" spans="1:18" s="101" customFormat="1" x14ac:dyDescent="0.2">
      <c r="A279" s="90"/>
      <c r="B279" s="90"/>
      <c r="C279" s="90"/>
      <c r="D279" s="90"/>
      <c r="E279" s="90"/>
      <c r="F279" s="90"/>
      <c r="G279" s="90"/>
      <c r="H279" s="90"/>
      <c r="I279" s="90"/>
      <c r="K279" s="112"/>
      <c r="L279" s="139"/>
      <c r="M279" s="139"/>
      <c r="N279" s="139"/>
      <c r="O279" s="139"/>
      <c r="P279" s="139"/>
      <c r="Q279" s="139"/>
      <c r="R279" s="139"/>
    </row>
    <row r="280" spans="1:18" s="101" customFormat="1" x14ac:dyDescent="0.2">
      <c r="A280" s="90"/>
      <c r="B280" s="90"/>
      <c r="C280" s="90"/>
      <c r="D280" s="90"/>
      <c r="E280" s="90"/>
      <c r="F280" s="90"/>
      <c r="G280" s="90"/>
      <c r="H280" s="90"/>
      <c r="I280" s="90"/>
      <c r="K280" s="112"/>
      <c r="L280" s="139"/>
      <c r="M280" s="139"/>
      <c r="N280" s="139"/>
      <c r="O280" s="139"/>
      <c r="P280" s="139"/>
      <c r="Q280" s="139"/>
      <c r="R280" s="139"/>
    </row>
    <row r="281" spans="1:18" s="101" customFormat="1" x14ac:dyDescent="0.2">
      <c r="A281" s="90"/>
      <c r="B281" s="90"/>
      <c r="C281" s="90"/>
      <c r="D281" s="90"/>
      <c r="E281" s="90"/>
      <c r="F281" s="90"/>
      <c r="G281" s="90"/>
      <c r="H281" s="90"/>
      <c r="I281" s="90"/>
      <c r="K281" s="112"/>
      <c r="L281" s="139"/>
      <c r="M281" s="139"/>
      <c r="N281" s="139"/>
      <c r="O281" s="139"/>
      <c r="P281" s="139"/>
      <c r="Q281" s="139"/>
      <c r="R281" s="139"/>
    </row>
    <row r="282" spans="1:18" s="101" customFormat="1" x14ac:dyDescent="0.2">
      <c r="A282" s="90"/>
      <c r="B282" s="90"/>
      <c r="C282" s="90"/>
      <c r="D282" s="90"/>
      <c r="E282" s="90"/>
      <c r="F282" s="90"/>
      <c r="G282" s="90"/>
      <c r="H282" s="90"/>
      <c r="I282" s="90"/>
      <c r="K282" s="112"/>
      <c r="L282" s="139"/>
      <c r="M282" s="139"/>
      <c r="N282" s="139"/>
      <c r="O282" s="139"/>
      <c r="P282" s="139"/>
      <c r="Q282" s="139"/>
      <c r="R282" s="139"/>
    </row>
    <row r="283" spans="1:18" s="101" customFormat="1" x14ac:dyDescent="0.2">
      <c r="A283" s="90"/>
      <c r="B283" s="90"/>
      <c r="C283" s="90"/>
      <c r="D283" s="90"/>
      <c r="E283" s="90"/>
      <c r="F283" s="90"/>
      <c r="G283" s="90"/>
      <c r="H283" s="90"/>
      <c r="I283" s="90"/>
      <c r="K283" s="112"/>
      <c r="L283" s="139"/>
      <c r="M283" s="139"/>
      <c r="N283" s="139"/>
      <c r="O283" s="139"/>
      <c r="P283" s="139"/>
      <c r="Q283" s="139"/>
      <c r="R283" s="139"/>
    </row>
    <row r="284" spans="1:18" s="101" customFormat="1" x14ac:dyDescent="0.2">
      <c r="A284" s="90"/>
      <c r="B284" s="90"/>
      <c r="C284" s="90"/>
      <c r="D284" s="90"/>
      <c r="E284" s="90"/>
      <c r="F284" s="90"/>
      <c r="G284" s="90"/>
      <c r="H284" s="90"/>
      <c r="I284" s="90"/>
      <c r="K284" s="112"/>
      <c r="L284" s="139"/>
      <c r="M284" s="139"/>
      <c r="N284" s="139"/>
      <c r="O284" s="139"/>
      <c r="P284" s="139"/>
      <c r="Q284" s="139"/>
      <c r="R284" s="139"/>
    </row>
    <row r="285" spans="1:18" s="101" customFormat="1" x14ac:dyDescent="0.2">
      <c r="A285" s="90"/>
      <c r="B285" s="90"/>
      <c r="C285" s="90"/>
      <c r="D285" s="90"/>
      <c r="E285" s="90"/>
      <c r="F285" s="90"/>
      <c r="G285" s="90"/>
      <c r="H285" s="90"/>
      <c r="I285" s="90"/>
      <c r="K285" s="112"/>
      <c r="L285" s="139"/>
      <c r="M285" s="139"/>
      <c r="N285" s="139"/>
      <c r="O285" s="139"/>
      <c r="P285" s="139"/>
      <c r="Q285" s="139"/>
      <c r="R285" s="139"/>
    </row>
    <row r="286" spans="1:18" s="101" customFormat="1" x14ac:dyDescent="0.2">
      <c r="A286" s="90"/>
      <c r="B286" s="90"/>
      <c r="C286" s="90"/>
      <c r="D286" s="90"/>
      <c r="E286" s="90"/>
      <c r="F286" s="90"/>
      <c r="G286" s="90"/>
      <c r="H286" s="90"/>
      <c r="I286" s="90"/>
      <c r="K286" s="112"/>
      <c r="L286" s="139"/>
      <c r="M286" s="139"/>
      <c r="N286" s="139"/>
      <c r="O286" s="139"/>
      <c r="P286" s="139"/>
      <c r="Q286" s="139"/>
      <c r="R286" s="139"/>
    </row>
    <row r="287" spans="1:18" s="101" customFormat="1" x14ac:dyDescent="0.2">
      <c r="A287" s="90"/>
      <c r="B287" s="90"/>
      <c r="C287" s="90"/>
      <c r="D287" s="90"/>
      <c r="E287" s="90"/>
      <c r="F287" s="90"/>
      <c r="G287" s="90"/>
      <c r="H287" s="90"/>
      <c r="I287" s="90"/>
      <c r="K287" s="112"/>
      <c r="L287" s="139"/>
      <c r="M287" s="139"/>
      <c r="N287" s="139"/>
      <c r="O287" s="139"/>
      <c r="P287" s="139"/>
      <c r="Q287" s="139"/>
      <c r="R287" s="139"/>
    </row>
    <row r="288" spans="1:18" s="101" customFormat="1" x14ac:dyDescent="0.2">
      <c r="A288" s="90"/>
      <c r="B288" s="90"/>
      <c r="C288" s="90"/>
      <c r="D288" s="90"/>
      <c r="E288" s="90"/>
      <c r="F288" s="90"/>
      <c r="G288" s="90"/>
      <c r="H288" s="90"/>
      <c r="I288" s="90"/>
      <c r="K288" s="112"/>
      <c r="L288" s="139"/>
      <c r="M288" s="139"/>
      <c r="N288" s="139"/>
      <c r="O288" s="139"/>
      <c r="P288" s="139"/>
      <c r="Q288" s="139"/>
      <c r="R288" s="139"/>
    </row>
    <row r="289" spans="1:18" s="101" customFormat="1" x14ac:dyDescent="0.2">
      <c r="A289" s="90"/>
      <c r="B289" s="90"/>
      <c r="C289" s="90"/>
      <c r="D289" s="90"/>
      <c r="E289" s="90"/>
      <c r="F289" s="90"/>
      <c r="G289" s="90"/>
      <c r="H289" s="90"/>
      <c r="I289" s="90"/>
      <c r="K289" s="112"/>
      <c r="L289" s="139"/>
      <c r="M289" s="139"/>
      <c r="N289" s="139"/>
      <c r="O289" s="139"/>
      <c r="P289" s="139"/>
      <c r="Q289" s="139"/>
      <c r="R289" s="139"/>
    </row>
    <row r="290" spans="1:18" s="101" customFormat="1" x14ac:dyDescent="0.2">
      <c r="A290" s="90"/>
      <c r="B290" s="90"/>
      <c r="C290" s="90"/>
      <c r="D290" s="90"/>
      <c r="E290" s="90"/>
      <c r="F290" s="90"/>
      <c r="G290" s="90"/>
      <c r="H290" s="90"/>
      <c r="I290" s="90"/>
      <c r="K290" s="112"/>
      <c r="L290" s="139"/>
      <c r="M290" s="139"/>
      <c r="N290" s="139"/>
      <c r="O290" s="139"/>
      <c r="P290" s="139"/>
      <c r="Q290" s="139"/>
      <c r="R290" s="139"/>
    </row>
    <row r="291" spans="1:18" s="101" customFormat="1" x14ac:dyDescent="0.2">
      <c r="A291" s="90"/>
      <c r="B291" s="90"/>
      <c r="C291" s="90"/>
      <c r="D291" s="90"/>
      <c r="E291" s="90"/>
      <c r="F291" s="90"/>
      <c r="G291" s="90"/>
      <c r="H291" s="90"/>
      <c r="I291" s="90"/>
      <c r="K291" s="112"/>
      <c r="L291" s="139"/>
      <c r="M291" s="139"/>
      <c r="N291" s="139"/>
      <c r="O291" s="139"/>
      <c r="P291" s="139"/>
      <c r="Q291" s="139"/>
      <c r="R291" s="139"/>
    </row>
    <row r="292" spans="1:18" s="101" customFormat="1" x14ac:dyDescent="0.2">
      <c r="A292" s="90"/>
      <c r="B292" s="90"/>
      <c r="C292" s="90"/>
      <c r="D292" s="90"/>
      <c r="E292" s="90"/>
      <c r="F292" s="90"/>
      <c r="G292" s="90"/>
      <c r="H292" s="90"/>
      <c r="I292" s="90"/>
      <c r="K292" s="112"/>
      <c r="L292" s="139"/>
      <c r="M292" s="139"/>
      <c r="N292" s="139"/>
      <c r="O292" s="139"/>
      <c r="P292" s="139"/>
      <c r="Q292" s="139"/>
      <c r="R292" s="139"/>
    </row>
    <row r="293" spans="1:18" s="101" customFormat="1" x14ac:dyDescent="0.2">
      <c r="A293" s="90"/>
      <c r="B293" s="90"/>
      <c r="C293" s="90"/>
      <c r="D293" s="90"/>
      <c r="E293" s="90"/>
      <c r="F293" s="90"/>
      <c r="G293" s="90"/>
      <c r="H293" s="90"/>
      <c r="I293" s="90"/>
      <c r="K293" s="112"/>
      <c r="L293" s="139"/>
      <c r="M293" s="139"/>
      <c r="N293" s="139"/>
      <c r="O293" s="139"/>
      <c r="P293" s="139"/>
      <c r="Q293" s="139"/>
      <c r="R293" s="139"/>
    </row>
    <row r="294" spans="1:18" s="101" customFormat="1" x14ac:dyDescent="0.2">
      <c r="A294" s="90"/>
      <c r="B294" s="90"/>
      <c r="C294" s="90"/>
      <c r="D294" s="90"/>
      <c r="E294" s="90"/>
      <c r="F294" s="90"/>
      <c r="G294" s="90"/>
      <c r="H294" s="90"/>
      <c r="I294" s="90"/>
      <c r="K294" s="112"/>
      <c r="L294" s="139"/>
      <c r="M294" s="139"/>
      <c r="N294" s="139"/>
      <c r="O294" s="139"/>
      <c r="P294" s="139"/>
      <c r="Q294" s="139"/>
      <c r="R294" s="139"/>
    </row>
    <row r="295" spans="1:18" s="101" customFormat="1" x14ac:dyDescent="0.2">
      <c r="A295" s="90"/>
      <c r="B295" s="90"/>
      <c r="C295" s="90"/>
      <c r="D295" s="90"/>
      <c r="E295" s="90"/>
      <c r="F295" s="90"/>
      <c r="G295" s="90"/>
      <c r="H295" s="90"/>
      <c r="I295" s="90"/>
      <c r="K295" s="112"/>
      <c r="L295" s="139"/>
      <c r="M295" s="139"/>
      <c r="N295" s="139"/>
      <c r="O295" s="139"/>
      <c r="P295" s="139"/>
      <c r="Q295" s="139"/>
      <c r="R295" s="139"/>
    </row>
    <row r="296" spans="1:18" s="101" customFormat="1" x14ac:dyDescent="0.2">
      <c r="A296" s="90"/>
      <c r="B296" s="90"/>
      <c r="C296" s="90"/>
      <c r="D296" s="90"/>
      <c r="E296" s="90"/>
      <c r="F296" s="90"/>
      <c r="G296" s="90"/>
      <c r="H296" s="90"/>
      <c r="I296" s="90"/>
      <c r="K296" s="112"/>
      <c r="L296" s="139"/>
      <c r="M296" s="139"/>
      <c r="N296" s="139"/>
      <c r="O296" s="139"/>
      <c r="P296" s="139"/>
      <c r="Q296" s="139"/>
      <c r="R296" s="139"/>
    </row>
    <row r="297" spans="1:18" s="101" customFormat="1" x14ac:dyDescent="0.2">
      <c r="A297" s="90"/>
      <c r="B297" s="90"/>
      <c r="C297" s="90"/>
      <c r="D297" s="90"/>
      <c r="E297" s="90"/>
      <c r="F297" s="90"/>
      <c r="G297" s="90"/>
      <c r="H297" s="90"/>
      <c r="I297" s="90"/>
      <c r="K297" s="112"/>
      <c r="L297" s="139"/>
      <c r="M297" s="139"/>
      <c r="N297" s="139"/>
      <c r="O297" s="139"/>
      <c r="P297" s="139"/>
      <c r="Q297" s="139"/>
      <c r="R297" s="139"/>
    </row>
    <row r="298" spans="1:18" s="101" customFormat="1" x14ac:dyDescent="0.2">
      <c r="A298" s="90"/>
      <c r="B298" s="90"/>
      <c r="C298" s="90"/>
      <c r="D298" s="90"/>
      <c r="E298" s="90"/>
      <c r="F298" s="90"/>
      <c r="G298" s="90"/>
      <c r="H298" s="90"/>
      <c r="I298" s="90"/>
      <c r="K298" s="112"/>
      <c r="L298" s="139"/>
      <c r="M298" s="139"/>
      <c r="N298" s="139"/>
      <c r="O298" s="139"/>
      <c r="P298" s="139"/>
      <c r="Q298" s="139"/>
      <c r="R298" s="139"/>
    </row>
    <row r="299" spans="1:18" s="101" customFormat="1" x14ac:dyDescent="0.2">
      <c r="A299" s="90"/>
      <c r="B299" s="90"/>
      <c r="C299" s="90"/>
      <c r="D299" s="90"/>
      <c r="E299" s="90"/>
      <c r="F299" s="90"/>
      <c r="G299" s="90"/>
      <c r="H299" s="90"/>
      <c r="I299" s="90"/>
      <c r="K299" s="112"/>
      <c r="L299" s="139"/>
      <c r="M299" s="139"/>
      <c r="N299" s="139"/>
      <c r="O299" s="139"/>
      <c r="P299" s="139"/>
      <c r="Q299" s="139"/>
      <c r="R299" s="139"/>
    </row>
    <row r="300" spans="1:18" s="101" customFormat="1" x14ac:dyDescent="0.2">
      <c r="A300" s="90"/>
      <c r="B300" s="90"/>
      <c r="C300" s="90"/>
      <c r="D300" s="90"/>
      <c r="E300" s="90"/>
      <c r="F300" s="90"/>
      <c r="G300" s="90"/>
      <c r="H300" s="90"/>
      <c r="I300" s="90"/>
      <c r="K300" s="112"/>
      <c r="L300" s="139"/>
      <c r="M300" s="139"/>
      <c r="N300" s="139"/>
      <c r="O300" s="139"/>
      <c r="P300" s="139"/>
      <c r="Q300" s="139"/>
      <c r="R300" s="139"/>
    </row>
    <row r="301" spans="1:18" s="101" customFormat="1" x14ac:dyDescent="0.2">
      <c r="A301" s="90"/>
      <c r="B301" s="90"/>
      <c r="C301" s="90"/>
      <c r="D301" s="90"/>
      <c r="E301" s="90"/>
      <c r="F301" s="90"/>
      <c r="G301" s="90"/>
      <c r="H301" s="90"/>
      <c r="I301" s="90"/>
      <c r="K301" s="112"/>
      <c r="L301" s="139"/>
      <c r="M301" s="139"/>
      <c r="N301" s="139"/>
      <c r="O301" s="139"/>
      <c r="P301" s="139"/>
      <c r="Q301" s="139"/>
      <c r="R301" s="139"/>
    </row>
    <row r="302" spans="1:18" s="101" customFormat="1" x14ac:dyDescent="0.2">
      <c r="A302" s="90"/>
      <c r="B302" s="90"/>
      <c r="C302" s="90"/>
      <c r="D302" s="90"/>
      <c r="E302" s="90"/>
      <c r="F302" s="90"/>
      <c r="G302" s="90"/>
      <c r="H302" s="90"/>
      <c r="I302" s="90"/>
      <c r="K302" s="112"/>
      <c r="L302" s="139"/>
      <c r="M302" s="139"/>
      <c r="N302" s="139"/>
      <c r="O302" s="139"/>
      <c r="P302" s="139"/>
      <c r="Q302" s="139"/>
      <c r="R302" s="139"/>
    </row>
    <row r="303" spans="1:18" s="101" customFormat="1" x14ac:dyDescent="0.2">
      <c r="A303" s="90"/>
      <c r="B303" s="90"/>
      <c r="C303" s="90"/>
      <c r="D303" s="90"/>
      <c r="E303" s="90"/>
      <c r="F303" s="90"/>
      <c r="G303" s="90"/>
      <c r="H303" s="90"/>
      <c r="I303" s="90"/>
      <c r="K303" s="112"/>
      <c r="L303" s="139"/>
      <c r="M303" s="139"/>
      <c r="N303" s="139"/>
      <c r="O303" s="139"/>
      <c r="P303" s="139"/>
      <c r="Q303" s="139"/>
      <c r="R303" s="139"/>
    </row>
    <row r="304" spans="1:18" s="101" customFormat="1" x14ac:dyDescent="0.2">
      <c r="A304" s="90"/>
      <c r="B304" s="90"/>
      <c r="C304" s="90"/>
      <c r="D304" s="90"/>
      <c r="E304" s="90"/>
      <c r="F304" s="90"/>
      <c r="G304" s="90"/>
      <c r="H304" s="90"/>
      <c r="I304" s="90"/>
      <c r="K304" s="112"/>
      <c r="L304" s="139"/>
      <c r="M304" s="139"/>
      <c r="N304" s="139"/>
      <c r="O304" s="139"/>
      <c r="P304" s="139"/>
      <c r="Q304" s="139"/>
      <c r="R304" s="139"/>
    </row>
    <row r="305" spans="1:18" s="101" customFormat="1" x14ac:dyDescent="0.2">
      <c r="A305" s="90"/>
      <c r="B305" s="90"/>
      <c r="C305" s="90"/>
      <c r="D305" s="90"/>
      <c r="E305" s="90"/>
      <c r="F305" s="90"/>
      <c r="G305" s="90"/>
      <c r="H305" s="90"/>
      <c r="I305" s="90"/>
      <c r="K305" s="112"/>
      <c r="L305" s="139"/>
      <c r="M305" s="139"/>
      <c r="N305" s="139"/>
      <c r="O305" s="139"/>
      <c r="P305" s="139"/>
      <c r="Q305" s="139"/>
      <c r="R305" s="139"/>
    </row>
    <row r="306" spans="1:18" s="101" customFormat="1" x14ac:dyDescent="0.2">
      <c r="A306" s="90"/>
      <c r="B306" s="90"/>
      <c r="C306" s="90"/>
      <c r="D306" s="90"/>
      <c r="E306" s="90"/>
      <c r="F306" s="90"/>
      <c r="G306" s="90"/>
      <c r="H306" s="90"/>
      <c r="I306" s="90"/>
      <c r="K306" s="112"/>
      <c r="L306" s="139"/>
      <c r="M306" s="139"/>
      <c r="N306" s="139"/>
      <c r="O306" s="139"/>
      <c r="P306" s="139"/>
      <c r="Q306" s="139"/>
      <c r="R306" s="139"/>
    </row>
    <row r="307" spans="1:18" s="101" customFormat="1" x14ac:dyDescent="0.2">
      <c r="A307" s="90"/>
      <c r="B307" s="90"/>
      <c r="C307" s="90"/>
      <c r="D307" s="90"/>
      <c r="E307" s="90"/>
      <c r="F307" s="90"/>
      <c r="G307" s="90"/>
      <c r="H307" s="90"/>
      <c r="I307" s="90"/>
      <c r="K307" s="112"/>
      <c r="L307" s="139"/>
      <c r="M307" s="139"/>
      <c r="N307" s="139"/>
      <c r="O307" s="139"/>
      <c r="P307" s="139"/>
      <c r="Q307" s="139"/>
      <c r="R307" s="139"/>
    </row>
    <row r="308" spans="1:18" s="101" customFormat="1" x14ac:dyDescent="0.2">
      <c r="A308" s="90"/>
      <c r="B308" s="90"/>
      <c r="C308" s="90"/>
      <c r="D308" s="90"/>
      <c r="E308" s="90"/>
      <c r="F308" s="90"/>
      <c r="G308" s="90"/>
      <c r="H308" s="90"/>
      <c r="I308" s="90"/>
      <c r="K308" s="112"/>
      <c r="L308" s="139"/>
      <c r="M308" s="139"/>
      <c r="N308" s="139"/>
      <c r="O308" s="139"/>
      <c r="P308" s="139"/>
      <c r="Q308" s="139"/>
      <c r="R308" s="139"/>
    </row>
    <row r="309" spans="1:18" s="101" customFormat="1" x14ac:dyDescent="0.2">
      <c r="A309" s="90"/>
      <c r="B309" s="90"/>
      <c r="C309" s="90"/>
      <c r="D309" s="90"/>
      <c r="E309" s="90"/>
      <c r="F309" s="90"/>
      <c r="G309" s="90"/>
      <c r="H309" s="90"/>
      <c r="I309" s="90"/>
      <c r="K309" s="112"/>
      <c r="L309" s="139"/>
      <c r="M309" s="139"/>
      <c r="N309" s="139"/>
      <c r="O309" s="139"/>
      <c r="P309" s="139"/>
      <c r="Q309" s="139"/>
      <c r="R309" s="139"/>
    </row>
    <row r="310" spans="1:18" s="101" customFormat="1" x14ac:dyDescent="0.2">
      <c r="A310" s="90"/>
      <c r="B310" s="90"/>
      <c r="C310" s="90"/>
      <c r="D310" s="90"/>
      <c r="E310" s="90"/>
      <c r="F310" s="90"/>
      <c r="G310" s="90"/>
      <c r="H310" s="90"/>
      <c r="I310" s="90"/>
      <c r="K310" s="112"/>
      <c r="L310" s="139"/>
      <c r="M310" s="139"/>
      <c r="N310" s="139"/>
      <c r="O310" s="139"/>
      <c r="P310" s="139"/>
      <c r="Q310" s="139"/>
      <c r="R310" s="139"/>
    </row>
    <row r="311" spans="1:18" s="101" customFormat="1" x14ac:dyDescent="0.2">
      <c r="A311" s="90"/>
      <c r="B311" s="90"/>
      <c r="C311" s="90"/>
      <c r="D311" s="90"/>
      <c r="E311" s="90"/>
      <c r="F311" s="90"/>
      <c r="G311" s="90"/>
      <c r="H311" s="90"/>
      <c r="I311" s="90"/>
      <c r="K311" s="112"/>
      <c r="L311" s="139"/>
      <c r="M311" s="139"/>
      <c r="N311" s="139"/>
      <c r="O311" s="139"/>
      <c r="P311" s="139"/>
      <c r="Q311" s="139"/>
      <c r="R311" s="139"/>
    </row>
    <row r="312" spans="1:18" s="101" customFormat="1" x14ac:dyDescent="0.2">
      <c r="A312" s="90"/>
      <c r="B312" s="90"/>
      <c r="C312" s="90"/>
      <c r="D312" s="90"/>
      <c r="E312" s="90"/>
      <c r="F312" s="90"/>
      <c r="G312" s="90"/>
      <c r="H312" s="90"/>
      <c r="I312" s="90"/>
      <c r="K312" s="112"/>
      <c r="L312" s="139"/>
      <c r="M312" s="139"/>
      <c r="N312" s="139"/>
      <c r="O312" s="139"/>
      <c r="P312" s="139"/>
      <c r="Q312" s="139"/>
      <c r="R312" s="139"/>
    </row>
    <row r="313" spans="1:18" s="101" customFormat="1" x14ac:dyDescent="0.2">
      <c r="A313" s="90"/>
      <c r="B313" s="90"/>
      <c r="C313" s="90"/>
      <c r="D313" s="90"/>
      <c r="E313" s="90"/>
      <c r="F313" s="90"/>
      <c r="G313" s="90"/>
      <c r="H313" s="90"/>
      <c r="I313" s="90"/>
      <c r="K313" s="112"/>
      <c r="L313" s="139"/>
      <c r="M313" s="139"/>
      <c r="N313" s="139"/>
      <c r="O313" s="139"/>
      <c r="P313" s="139"/>
      <c r="Q313" s="139"/>
      <c r="R313" s="139"/>
    </row>
    <row r="314" spans="1:18" s="101" customFormat="1" x14ac:dyDescent="0.2">
      <c r="A314" s="90"/>
      <c r="B314" s="90"/>
      <c r="C314" s="90"/>
      <c r="D314" s="90"/>
      <c r="E314" s="90"/>
      <c r="F314" s="90"/>
      <c r="G314" s="90"/>
      <c r="H314" s="90"/>
      <c r="I314" s="90"/>
      <c r="K314" s="112"/>
      <c r="L314" s="139"/>
      <c r="M314" s="139"/>
      <c r="N314" s="139"/>
      <c r="O314" s="139"/>
      <c r="P314" s="139"/>
      <c r="Q314" s="139"/>
      <c r="R314" s="139"/>
    </row>
  </sheetData>
  <mergeCells count="5">
    <mergeCell ref="H6:I6"/>
    <mergeCell ref="B6:B7"/>
    <mergeCell ref="C6:C7"/>
    <mergeCell ref="D6:E6"/>
    <mergeCell ref="F6:G6"/>
  </mergeCells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  <pageSetUpPr fitToPage="1"/>
  </sheetPr>
  <dimension ref="B2:AN450"/>
  <sheetViews>
    <sheetView zoomScale="90" zoomScaleNormal="90" workbookViewId="0">
      <selection activeCell="V18" sqref="V18"/>
    </sheetView>
  </sheetViews>
  <sheetFormatPr defaultRowHeight="12.75" x14ac:dyDescent="0.2"/>
  <cols>
    <col min="1" max="1" width="5.42578125" style="5" customWidth="1"/>
    <col min="2" max="2" width="8.85546875" style="6" hidden="1" customWidth="1"/>
    <col min="3" max="3" width="8.85546875" style="6" customWidth="1"/>
    <col min="4" max="4" width="22.42578125" style="5" customWidth="1"/>
    <col min="5" max="5" width="9.85546875" style="7" customWidth="1"/>
    <col min="6" max="6" width="13" style="46" customWidth="1"/>
    <col min="7" max="7" width="11.7109375" style="46" customWidth="1"/>
    <col min="8" max="20" width="8.85546875" style="7" hidden="1" customWidth="1"/>
    <col min="21" max="21" width="3.85546875" style="5" customWidth="1"/>
    <col min="22" max="22" width="19" style="5" customWidth="1"/>
    <col min="23" max="23" width="11" style="5" customWidth="1"/>
    <col min="24" max="25" width="9.85546875" style="5" customWidth="1"/>
    <col min="26" max="26" width="11.7109375" style="5" customWidth="1"/>
    <col min="27" max="27" width="4.140625" style="5" customWidth="1"/>
    <col min="28" max="47" width="6.42578125" style="5" customWidth="1"/>
    <col min="48" max="207" width="6.5703125" style="5" customWidth="1"/>
    <col min="208" max="16384" width="9.140625" style="5"/>
  </cols>
  <sheetData>
    <row r="2" spans="2:40" ht="33.75" x14ac:dyDescent="0.5">
      <c r="B2" s="4"/>
      <c r="C2" s="132" t="s">
        <v>57</v>
      </c>
      <c r="D2" s="4"/>
      <c r="V2" s="84" t="s">
        <v>44</v>
      </c>
      <c r="W2" s="84"/>
      <c r="X2" s="83"/>
    </row>
    <row r="3" spans="2:40" ht="16.5" x14ac:dyDescent="0.25">
      <c r="B3" s="75"/>
      <c r="C3" s="75" t="s">
        <v>50</v>
      </c>
      <c r="D3" s="75"/>
      <c r="E3" s="74"/>
      <c r="V3" s="85" t="s">
        <v>45</v>
      </c>
      <c r="W3" s="84" t="s">
        <v>49</v>
      </c>
      <c r="X3" s="82"/>
    </row>
    <row r="4" spans="2:40" x14ac:dyDescent="0.2">
      <c r="B4" s="73"/>
      <c r="C4" s="73"/>
      <c r="D4" s="73"/>
    </row>
    <row r="5" spans="2:40" s="8" customFormat="1" ht="21.75" customHeight="1" x14ac:dyDescent="0.2">
      <c r="B5" s="76"/>
      <c r="C5" s="76" t="s">
        <v>39</v>
      </c>
      <c r="D5" s="76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6" t="s">
        <v>38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 x14ac:dyDescent="0.2">
      <c r="B6" s="28" t="s">
        <v>51</v>
      </c>
      <c r="C6" s="28" t="s">
        <v>0</v>
      </c>
      <c r="D6" s="29" t="s">
        <v>19</v>
      </c>
      <c r="E6" s="47" t="s">
        <v>26</v>
      </c>
      <c r="F6" s="47" t="s">
        <v>27</v>
      </c>
      <c r="G6" s="47" t="s">
        <v>23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  <c r="M6" s="45" t="s">
        <v>13</v>
      </c>
      <c r="N6" s="45" t="s">
        <v>18</v>
      </c>
      <c r="O6" s="45" t="s">
        <v>75</v>
      </c>
      <c r="P6" s="45" t="s">
        <v>2</v>
      </c>
      <c r="Q6" s="45" t="s">
        <v>5</v>
      </c>
      <c r="R6" s="45"/>
      <c r="S6" s="45"/>
      <c r="T6" s="45"/>
      <c r="U6" s="5"/>
      <c r="V6" s="38" t="s">
        <v>29</v>
      </c>
      <c r="W6" s="39" t="s">
        <v>30</v>
      </c>
      <c r="X6" s="39" t="s">
        <v>26</v>
      </c>
      <c r="Y6" s="39" t="s">
        <v>27</v>
      </c>
      <c r="Z6" s="40" t="s">
        <v>29</v>
      </c>
      <c r="AA6" s="14"/>
      <c r="AB6" s="14"/>
      <c r="AC6" s="14"/>
    </row>
    <row r="7" spans="2:40" s="15" customFormat="1" ht="15.75" customHeight="1" x14ac:dyDescent="0.2">
      <c r="B7" s="89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33</v>
      </c>
      <c r="C7" s="89">
        <v>1</v>
      </c>
      <c r="D7" s="30"/>
      <c r="E7" s="88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88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0</v>
      </c>
      <c r="G7" s="49">
        <f>E29</f>
        <v>0</v>
      </c>
      <c r="H7" s="48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0</v>
      </c>
      <c r="I7" s="57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0</v>
      </c>
      <c r="J7" s="57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0</v>
      </c>
      <c r="K7" s="57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0</v>
      </c>
      <c r="L7" s="57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0</v>
      </c>
      <c r="M7" s="57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0</v>
      </c>
      <c r="N7" s="57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0</v>
      </c>
      <c r="O7" s="57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0</v>
      </c>
      <c r="P7" s="57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</v>
      </c>
      <c r="Q7" s="57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</v>
      </c>
      <c r="R7" s="57"/>
      <c r="S7" s="57"/>
      <c r="T7" s="57"/>
      <c r="U7" s="5"/>
      <c r="V7" s="31" t="s">
        <v>32</v>
      </c>
      <c r="W7" s="32" t="s">
        <v>23</v>
      </c>
      <c r="X7" s="106"/>
      <c r="Y7" s="107"/>
      <c r="Z7" s="33">
        <f>G45</f>
        <v>0</v>
      </c>
      <c r="AA7" s="14"/>
      <c r="AB7" s="14"/>
      <c r="AC7" s="14"/>
    </row>
    <row r="8" spans="2:40" s="15" customFormat="1" ht="15.75" customHeight="1" x14ac:dyDescent="0.2">
      <c r="B8" s="89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33</v>
      </c>
      <c r="C8" s="89">
        <v>2</v>
      </c>
      <c r="D8" s="30"/>
      <c r="E8" s="88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88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0</v>
      </c>
      <c r="G8" s="49">
        <f t="shared" ref="G8:G21" si="0">E30</f>
        <v>0</v>
      </c>
      <c r="H8" s="48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0</v>
      </c>
      <c r="I8" s="57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0</v>
      </c>
      <c r="J8" s="57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0</v>
      </c>
      <c r="K8" s="57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0</v>
      </c>
      <c r="L8" s="57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0</v>
      </c>
      <c r="M8" s="57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0</v>
      </c>
      <c r="N8" s="57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0</v>
      </c>
      <c r="O8" s="57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0</v>
      </c>
      <c r="P8" s="57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</v>
      </c>
      <c r="Q8" s="57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</v>
      </c>
      <c r="R8" s="57"/>
      <c r="S8" s="57"/>
      <c r="T8" s="57"/>
      <c r="U8" s="5"/>
      <c r="V8" s="31" t="s">
        <v>10</v>
      </c>
      <c r="W8" s="32" t="s">
        <v>23</v>
      </c>
      <c r="X8" s="108"/>
      <c r="Y8" s="107"/>
      <c r="Z8" s="33">
        <f>H45</f>
        <v>0</v>
      </c>
      <c r="AA8" s="14"/>
      <c r="AB8" s="14"/>
      <c r="AC8" s="14"/>
    </row>
    <row r="9" spans="2:40" s="15" customFormat="1" ht="15.75" customHeight="1" x14ac:dyDescent="0.2">
      <c r="B9" s="89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33</v>
      </c>
      <c r="C9" s="89">
        <v>3</v>
      </c>
      <c r="D9" s="30"/>
      <c r="E9" s="88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8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0</v>
      </c>
      <c r="G9" s="49">
        <f t="shared" si="0"/>
        <v>0</v>
      </c>
      <c r="H9" s="48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0</v>
      </c>
      <c r="I9" s="57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0</v>
      </c>
      <c r="J9" s="57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0</v>
      </c>
      <c r="K9" s="57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0</v>
      </c>
      <c r="L9" s="57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0</v>
      </c>
      <c r="M9" s="57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0</v>
      </c>
      <c r="N9" s="57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0</v>
      </c>
      <c r="O9" s="57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0</v>
      </c>
      <c r="P9" s="57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</v>
      </c>
      <c r="Q9" s="57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</v>
      </c>
      <c r="R9" s="57"/>
      <c r="S9" s="57"/>
      <c r="T9" s="57"/>
      <c r="U9" s="5"/>
      <c r="V9" s="31" t="s">
        <v>33</v>
      </c>
      <c r="W9" s="32" t="s">
        <v>23</v>
      </c>
      <c r="X9" s="106"/>
      <c r="Y9" s="109"/>
      <c r="Z9" s="34">
        <f>I45</f>
        <v>0</v>
      </c>
      <c r="AA9" s="14"/>
      <c r="AB9" s="14"/>
      <c r="AC9" s="14"/>
    </row>
    <row r="10" spans="2:40" s="15" customFormat="1" ht="15.75" customHeight="1" x14ac:dyDescent="0.2">
      <c r="B10" s="89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33</v>
      </c>
      <c r="C10" s="89">
        <v>4</v>
      </c>
      <c r="D10" s="30"/>
      <c r="E10" s="88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8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0</v>
      </c>
      <c r="G10" s="49">
        <f t="shared" si="0"/>
        <v>0</v>
      </c>
      <c r="H10" s="48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0</v>
      </c>
      <c r="I10" s="57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0</v>
      </c>
      <c r="J10" s="57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0</v>
      </c>
      <c r="K10" s="57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0</v>
      </c>
      <c r="L10" s="57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0</v>
      </c>
      <c r="M10" s="57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0</v>
      </c>
      <c r="N10" s="57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0</v>
      </c>
      <c r="O10" s="57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0</v>
      </c>
      <c r="P10" s="57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</v>
      </c>
      <c r="Q10" s="57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</v>
      </c>
      <c r="R10" s="57"/>
      <c r="S10" s="57"/>
      <c r="T10" s="57"/>
      <c r="U10" s="5"/>
      <c r="V10" s="31" t="s">
        <v>34</v>
      </c>
      <c r="W10" s="32" t="s">
        <v>23</v>
      </c>
      <c r="X10" s="108"/>
      <c r="Y10" s="107"/>
      <c r="Z10" s="34">
        <f>J45</f>
        <v>0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 x14ac:dyDescent="0.2">
      <c r="B11" s="89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33</v>
      </c>
      <c r="C11" s="89">
        <v>5</v>
      </c>
      <c r="D11" s="30"/>
      <c r="E11" s="88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8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0</v>
      </c>
      <c r="G11" s="49">
        <f t="shared" si="0"/>
        <v>0</v>
      </c>
      <c r="H11" s="48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0</v>
      </c>
      <c r="I11" s="57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0</v>
      </c>
      <c r="J11" s="57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0</v>
      </c>
      <c r="K11" s="57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0</v>
      </c>
      <c r="L11" s="57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0</v>
      </c>
      <c r="M11" s="57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</v>
      </c>
      <c r="N11" s="57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0</v>
      </c>
      <c r="O11" s="57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0</v>
      </c>
      <c r="P11" s="57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</v>
      </c>
      <c r="Q11" s="57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</v>
      </c>
      <c r="R11" s="57"/>
      <c r="S11" s="57"/>
      <c r="T11" s="57"/>
      <c r="U11" s="5"/>
      <c r="V11" s="31" t="s">
        <v>35</v>
      </c>
      <c r="W11" s="32" t="s">
        <v>23</v>
      </c>
      <c r="X11" s="108"/>
      <c r="Y11" s="109"/>
      <c r="Z11" s="35">
        <f>K45</f>
        <v>0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 x14ac:dyDescent="0.2">
      <c r="B12" s="89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33</v>
      </c>
      <c r="C12" s="89">
        <v>6</v>
      </c>
      <c r="D12" s="30"/>
      <c r="E12" s="88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88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0</v>
      </c>
      <c r="G12" s="49">
        <f t="shared" si="0"/>
        <v>0</v>
      </c>
      <c r="H12" s="48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0</v>
      </c>
      <c r="I12" s="57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0</v>
      </c>
      <c r="J12" s="57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0</v>
      </c>
      <c r="K12" s="57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0</v>
      </c>
      <c r="L12" s="57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</v>
      </c>
      <c r="M12" s="57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0</v>
      </c>
      <c r="N12" s="57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0</v>
      </c>
      <c r="O12" s="57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0</v>
      </c>
      <c r="P12" s="57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</v>
      </c>
      <c r="Q12" s="57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</v>
      </c>
      <c r="R12" s="57"/>
      <c r="S12" s="57"/>
      <c r="T12" s="57"/>
      <c r="U12" s="5"/>
      <c r="V12" s="31" t="s">
        <v>18</v>
      </c>
      <c r="W12" s="32" t="s">
        <v>23</v>
      </c>
      <c r="X12" s="108"/>
      <c r="Y12" s="107"/>
      <c r="Z12" s="35">
        <f>L45</f>
        <v>0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 x14ac:dyDescent="0.2">
      <c r="B13" s="89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33</v>
      </c>
      <c r="C13" s="89">
        <v>7</v>
      </c>
      <c r="D13" s="30"/>
      <c r="E13" s="88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88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0</v>
      </c>
      <c r="G13" s="49">
        <f t="shared" si="0"/>
        <v>0</v>
      </c>
      <c r="H13" s="48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0</v>
      </c>
      <c r="I13" s="57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0</v>
      </c>
      <c r="J13" s="57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0</v>
      </c>
      <c r="K13" s="57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0</v>
      </c>
      <c r="L13" s="57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</v>
      </c>
      <c r="M13" s="57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0</v>
      </c>
      <c r="N13" s="57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0</v>
      </c>
      <c r="O13" s="57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0</v>
      </c>
      <c r="P13" s="57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</v>
      </c>
      <c r="Q13" s="57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7"/>
      <c r="S13" s="57"/>
      <c r="T13" s="57"/>
      <c r="U13" s="5"/>
      <c r="V13" s="31" t="s">
        <v>75</v>
      </c>
      <c r="W13" s="32" t="s">
        <v>28</v>
      </c>
      <c r="X13" s="108"/>
      <c r="Y13" s="107"/>
      <c r="Z13" s="145">
        <f>M45</f>
        <v>0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 x14ac:dyDescent="0.2">
      <c r="B14" s="89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33</v>
      </c>
      <c r="C14" s="89">
        <v>8</v>
      </c>
      <c r="D14" s="30"/>
      <c r="E14" s="88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88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0</v>
      </c>
      <c r="G14" s="49">
        <f t="shared" si="0"/>
        <v>0</v>
      </c>
      <c r="H14" s="48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0</v>
      </c>
      <c r="I14" s="57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0</v>
      </c>
      <c r="J14" s="57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0</v>
      </c>
      <c r="K14" s="57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0</v>
      </c>
      <c r="L14" s="57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0</v>
      </c>
      <c r="M14" s="57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</v>
      </c>
      <c r="N14" s="57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0</v>
      </c>
      <c r="O14" s="57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0</v>
      </c>
      <c r="P14" s="57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</v>
      </c>
      <c r="Q14" s="57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</v>
      </c>
      <c r="R14" s="57"/>
      <c r="S14" s="57"/>
      <c r="T14" s="57"/>
      <c r="U14" s="5"/>
      <c r="V14" s="31" t="s">
        <v>41</v>
      </c>
      <c r="W14" s="32" t="s">
        <v>23</v>
      </c>
      <c r="X14" s="110"/>
      <c r="Y14" s="111"/>
      <c r="Z14" s="37">
        <f>N45</f>
        <v>0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 x14ac:dyDescent="0.2">
      <c r="B15" s="89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33</v>
      </c>
      <c r="C15" s="89">
        <v>9</v>
      </c>
      <c r="D15" s="30"/>
      <c r="E15" s="88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0</v>
      </c>
      <c r="F15" s="88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0</v>
      </c>
      <c r="G15" s="49">
        <f t="shared" si="0"/>
        <v>0</v>
      </c>
      <c r="H15" s="48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0</v>
      </c>
      <c r="I15" s="57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0</v>
      </c>
      <c r="J15" s="57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</v>
      </c>
      <c r="K15" s="57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57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</v>
      </c>
      <c r="M15" s="57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57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57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0</v>
      </c>
      <c r="P15" s="57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57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57"/>
      <c r="S15" s="57"/>
      <c r="T15" s="57"/>
      <c r="U15" s="5"/>
      <c r="V15" s="31" t="s">
        <v>77</v>
      </c>
      <c r="W15" s="32" t="s">
        <v>23</v>
      </c>
      <c r="X15" s="108"/>
      <c r="Y15" s="107"/>
      <c r="Z15" s="37">
        <f>O45</f>
        <v>0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 x14ac:dyDescent="0.2">
      <c r="B16" s="89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33</v>
      </c>
      <c r="C16" s="89">
        <v>10</v>
      </c>
      <c r="D16" s="30"/>
      <c r="E16" s="88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88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</v>
      </c>
      <c r="G16" s="49">
        <f t="shared" si="0"/>
        <v>0</v>
      </c>
      <c r="H16" s="48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0</v>
      </c>
      <c r="I16" s="57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0</v>
      </c>
      <c r="J16" s="57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7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7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7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7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7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7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57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7"/>
      <c r="S16" s="57"/>
      <c r="T16" s="57"/>
      <c r="U16" s="5"/>
      <c r="V16" s="78" t="s">
        <v>37</v>
      </c>
      <c r="W16" s="79" t="s">
        <v>31</v>
      </c>
      <c r="X16" s="77">
        <f>F45</f>
        <v>0</v>
      </c>
      <c r="Y16" s="79"/>
      <c r="Z16" s="79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 x14ac:dyDescent="0.2">
      <c r="B17" s="89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33</v>
      </c>
      <c r="C17" s="89">
        <v>11</v>
      </c>
      <c r="D17" s="30"/>
      <c r="E17" s="88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8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0</v>
      </c>
      <c r="G17" s="49">
        <f t="shared" si="0"/>
        <v>0</v>
      </c>
      <c r="H17" s="48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57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57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7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7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7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7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7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7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57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57"/>
      <c r="S17" s="57"/>
      <c r="T17" s="57"/>
      <c r="U17" s="5"/>
      <c r="V17" s="81">
        <f ca="1">NOW()</f>
        <v>42090.979192245373</v>
      </c>
      <c r="W17" s="80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 x14ac:dyDescent="0.2">
      <c r="B18" s="89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33</v>
      </c>
      <c r="C18" s="89">
        <v>12</v>
      </c>
      <c r="D18" s="30"/>
      <c r="E18" s="88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8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49">
        <f t="shared" si="0"/>
        <v>0</v>
      </c>
      <c r="H18" s="48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7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7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7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7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7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7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7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7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7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7"/>
      <c r="S18" s="57"/>
      <c r="T18" s="57"/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 x14ac:dyDescent="0.2">
      <c r="B19" s="89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33</v>
      </c>
      <c r="C19" s="89">
        <v>13</v>
      </c>
      <c r="D19" s="30"/>
      <c r="E19" s="88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8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49">
        <f t="shared" si="0"/>
        <v>0</v>
      </c>
      <c r="H19" s="48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7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7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7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7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7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7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7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7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7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7"/>
      <c r="S19" s="57"/>
      <c r="T19" s="57"/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 x14ac:dyDescent="0.2">
      <c r="B20" s="89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33</v>
      </c>
      <c r="C20" s="89">
        <v>14</v>
      </c>
      <c r="D20" s="30"/>
      <c r="E20" s="88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8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49">
        <f t="shared" si="0"/>
        <v>0</v>
      </c>
      <c r="H20" s="48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7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7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7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7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7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7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7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7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7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7"/>
      <c r="S20" s="57"/>
      <c r="T20" s="57"/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 x14ac:dyDescent="0.2">
      <c r="B21" s="89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89">
        <v>15</v>
      </c>
      <c r="D21" s="30"/>
      <c r="E21" s="88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8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49">
        <f t="shared" si="0"/>
        <v>0</v>
      </c>
      <c r="H21" s="48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7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7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7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7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7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7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7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7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7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7"/>
      <c r="S21" s="57"/>
      <c r="T21" s="57"/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 x14ac:dyDescent="0.2">
      <c r="B22" s="41"/>
      <c r="C22" s="41"/>
      <c r="D22" s="42"/>
      <c r="E22" s="50"/>
      <c r="F22" s="50"/>
      <c r="G22" s="43">
        <f>E45</f>
        <v>0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 x14ac:dyDescent="0.2">
      <c r="B23" s="44"/>
      <c r="C23" s="44"/>
      <c r="D23" s="19"/>
      <c r="E23" s="51"/>
      <c r="F23" s="51"/>
      <c r="G23" s="51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 x14ac:dyDescent="0.2">
      <c r="B24" s="44"/>
      <c r="C24" s="44"/>
      <c r="D24" s="19"/>
      <c r="E24" s="51"/>
      <c r="F24" s="51"/>
      <c r="G24" s="51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x14ac:dyDescent="0.2">
      <c r="B25" s="23"/>
      <c r="C25" s="23"/>
      <c r="D25" s="19"/>
      <c r="E25" s="51"/>
      <c r="F25" s="51"/>
      <c r="G25" s="51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 x14ac:dyDescent="0.2">
      <c r="B26" s="23"/>
      <c r="C26" s="23"/>
      <c r="D26" s="19"/>
      <c r="E26" s="51"/>
      <c r="F26" s="51"/>
      <c r="G26" s="51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.25" hidden="1" x14ac:dyDescent="0.3">
      <c r="B27" s="24"/>
      <c r="C27" s="24" t="s">
        <v>40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 x14ac:dyDescent="0.2">
      <c r="B28" s="58" t="s">
        <v>51</v>
      </c>
      <c r="C28" s="58" t="s">
        <v>0</v>
      </c>
      <c r="D28" s="59" t="s">
        <v>19</v>
      </c>
      <c r="E28" s="60" t="s">
        <v>23</v>
      </c>
      <c r="F28" s="60" t="s">
        <v>8</v>
      </c>
      <c r="G28" s="60" t="s">
        <v>9</v>
      </c>
      <c r="H28" s="60" t="s">
        <v>10</v>
      </c>
      <c r="I28" s="60" t="s">
        <v>11</v>
      </c>
      <c r="J28" s="60" t="s">
        <v>12</v>
      </c>
      <c r="K28" s="60" t="s">
        <v>13</v>
      </c>
      <c r="L28" s="60" t="s">
        <v>18</v>
      </c>
      <c r="M28" s="60" t="s">
        <v>75</v>
      </c>
      <c r="N28" s="60" t="s">
        <v>2</v>
      </c>
      <c r="O28" s="60" t="s">
        <v>5</v>
      </c>
      <c r="P28" s="60"/>
      <c r="Q28" s="60"/>
      <c r="R28" s="60"/>
      <c r="S28" s="60"/>
      <c r="T28" s="60"/>
      <c r="V28" s="19"/>
      <c r="W28" s="19"/>
      <c r="X28" s="19"/>
    </row>
    <row r="29" spans="2:40" s="15" customFormat="1" ht="16.5" hidden="1" customHeight="1" x14ac:dyDescent="0.2">
      <c r="B29" s="32">
        <f>B7</f>
        <v>33</v>
      </c>
      <c r="C29" s="32">
        <v>1</v>
      </c>
      <c r="D29" s="61">
        <f>D7</f>
        <v>0</v>
      </c>
      <c r="E29" s="62">
        <v>0</v>
      </c>
      <c r="F29" s="63">
        <f>$E29/100*H7</f>
        <v>0</v>
      </c>
      <c r="G29" s="63">
        <f>$E29/100*I7</f>
        <v>0</v>
      </c>
      <c r="H29" s="63">
        <f t="shared" ref="H29:O29" si="1">$E29/100*J7</f>
        <v>0</v>
      </c>
      <c r="I29" s="63">
        <f t="shared" si="1"/>
        <v>0</v>
      </c>
      <c r="J29" s="63">
        <f t="shared" si="1"/>
        <v>0</v>
      </c>
      <c r="K29" s="63">
        <f t="shared" si="1"/>
        <v>0</v>
      </c>
      <c r="L29" s="63">
        <f t="shared" si="1"/>
        <v>0</v>
      </c>
      <c r="M29" s="63">
        <f t="shared" si="1"/>
        <v>0</v>
      </c>
      <c r="N29" s="63">
        <f t="shared" si="1"/>
        <v>0</v>
      </c>
      <c r="O29" s="63">
        <f t="shared" si="1"/>
        <v>0</v>
      </c>
      <c r="P29" s="63"/>
      <c r="Q29" s="63"/>
      <c r="R29" s="63"/>
      <c r="S29" s="63">
        <f>E7</f>
        <v>0</v>
      </c>
      <c r="T29" s="63">
        <f>F7</f>
        <v>0</v>
      </c>
      <c r="V29" s="19"/>
      <c r="W29" s="19"/>
      <c r="X29" s="19"/>
    </row>
    <row r="30" spans="2:40" s="15" customFormat="1" ht="16.5" hidden="1" customHeight="1" x14ac:dyDescent="0.2">
      <c r="B30" s="32">
        <f t="shared" ref="B30:D43" si="2">B8</f>
        <v>33</v>
      </c>
      <c r="C30" s="32">
        <v>2</v>
      </c>
      <c r="D30" s="61">
        <f t="shared" si="2"/>
        <v>0</v>
      </c>
      <c r="E30" s="62">
        <v>0</v>
      </c>
      <c r="F30" s="63">
        <f t="shared" ref="F30:O43" si="3">$E30/100*H8</f>
        <v>0</v>
      </c>
      <c r="G30" s="63">
        <f t="shared" si="3"/>
        <v>0</v>
      </c>
      <c r="H30" s="63">
        <f t="shared" si="3"/>
        <v>0</v>
      </c>
      <c r="I30" s="63">
        <f t="shared" si="3"/>
        <v>0</v>
      </c>
      <c r="J30" s="63">
        <f t="shared" si="3"/>
        <v>0</v>
      </c>
      <c r="K30" s="63">
        <f t="shared" si="3"/>
        <v>0</v>
      </c>
      <c r="L30" s="63">
        <f t="shared" si="3"/>
        <v>0</v>
      </c>
      <c r="M30" s="63">
        <f t="shared" si="3"/>
        <v>0</v>
      </c>
      <c r="N30" s="63">
        <f t="shared" si="3"/>
        <v>0</v>
      </c>
      <c r="O30" s="63">
        <f t="shared" si="3"/>
        <v>0</v>
      </c>
      <c r="P30" s="63"/>
      <c r="Q30" s="63"/>
      <c r="R30" s="63"/>
      <c r="S30" s="63">
        <f t="shared" ref="S30:T43" si="4">E8</f>
        <v>0</v>
      </c>
      <c r="T30" s="63">
        <f t="shared" si="4"/>
        <v>0</v>
      </c>
      <c r="V30" s="19"/>
      <c r="W30" s="19"/>
      <c r="X30" s="19"/>
    </row>
    <row r="31" spans="2:40" s="15" customFormat="1" ht="16.5" hidden="1" customHeight="1" x14ac:dyDescent="0.2">
      <c r="B31" s="32">
        <f t="shared" si="2"/>
        <v>33</v>
      </c>
      <c r="C31" s="32">
        <v>3</v>
      </c>
      <c r="D31" s="61">
        <f t="shared" si="2"/>
        <v>0</v>
      </c>
      <c r="E31" s="62">
        <v>0</v>
      </c>
      <c r="F31" s="63">
        <f t="shared" si="3"/>
        <v>0</v>
      </c>
      <c r="G31" s="63">
        <f t="shared" si="3"/>
        <v>0</v>
      </c>
      <c r="H31" s="63">
        <f t="shared" si="3"/>
        <v>0</v>
      </c>
      <c r="I31" s="63">
        <f t="shared" si="3"/>
        <v>0</v>
      </c>
      <c r="J31" s="63">
        <f t="shared" si="3"/>
        <v>0</v>
      </c>
      <c r="K31" s="63">
        <f t="shared" si="3"/>
        <v>0</v>
      </c>
      <c r="L31" s="63">
        <f t="shared" si="3"/>
        <v>0</v>
      </c>
      <c r="M31" s="63">
        <f t="shared" si="3"/>
        <v>0</v>
      </c>
      <c r="N31" s="63">
        <f t="shared" si="3"/>
        <v>0</v>
      </c>
      <c r="O31" s="63">
        <f t="shared" si="3"/>
        <v>0</v>
      </c>
      <c r="P31" s="63"/>
      <c r="Q31" s="63"/>
      <c r="R31" s="63"/>
      <c r="S31" s="63">
        <f t="shared" si="4"/>
        <v>0</v>
      </c>
      <c r="T31" s="63">
        <f t="shared" si="4"/>
        <v>0</v>
      </c>
      <c r="V31" s="19"/>
      <c r="W31" s="19"/>
      <c r="X31" s="19"/>
    </row>
    <row r="32" spans="2:40" s="15" customFormat="1" ht="16.5" hidden="1" customHeight="1" x14ac:dyDescent="0.2">
      <c r="B32" s="32">
        <f t="shared" si="2"/>
        <v>33</v>
      </c>
      <c r="C32" s="32">
        <v>4</v>
      </c>
      <c r="D32" s="61">
        <f t="shared" si="2"/>
        <v>0</v>
      </c>
      <c r="E32" s="62">
        <v>0</v>
      </c>
      <c r="F32" s="63">
        <f t="shared" si="3"/>
        <v>0</v>
      </c>
      <c r="G32" s="63">
        <f t="shared" si="3"/>
        <v>0</v>
      </c>
      <c r="H32" s="63">
        <f t="shared" si="3"/>
        <v>0</v>
      </c>
      <c r="I32" s="63">
        <f t="shared" si="3"/>
        <v>0</v>
      </c>
      <c r="J32" s="63">
        <f t="shared" si="3"/>
        <v>0</v>
      </c>
      <c r="K32" s="63">
        <f t="shared" si="3"/>
        <v>0</v>
      </c>
      <c r="L32" s="63">
        <f t="shared" si="3"/>
        <v>0</v>
      </c>
      <c r="M32" s="63">
        <f t="shared" si="3"/>
        <v>0</v>
      </c>
      <c r="N32" s="63">
        <f t="shared" si="3"/>
        <v>0</v>
      </c>
      <c r="O32" s="63">
        <f t="shared" si="3"/>
        <v>0</v>
      </c>
      <c r="P32" s="63"/>
      <c r="Q32" s="63"/>
      <c r="R32" s="63"/>
      <c r="S32" s="63">
        <f t="shared" si="4"/>
        <v>0</v>
      </c>
      <c r="T32" s="63">
        <f t="shared" si="4"/>
        <v>0</v>
      </c>
      <c r="V32" s="19"/>
      <c r="W32" s="19"/>
      <c r="X32" s="19"/>
    </row>
    <row r="33" spans="2:24" s="15" customFormat="1" ht="16.5" hidden="1" customHeight="1" x14ac:dyDescent="0.2">
      <c r="B33" s="32">
        <f t="shared" si="2"/>
        <v>33</v>
      </c>
      <c r="C33" s="32">
        <v>5</v>
      </c>
      <c r="D33" s="61">
        <f t="shared" si="2"/>
        <v>0</v>
      </c>
      <c r="E33" s="62">
        <v>0</v>
      </c>
      <c r="F33" s="63">
        <f t="shared" si="3"/>
        <v>0</v>
      </c>
      <c r="G33" s="63">
        <f t="shared" si="3"/>
        <v>0</v>
      </c>
      <c r="H33" s="63">
        <f t="shared" si="3"/>
        <v>0</v>
      </c>
      <c r="I33" s="63">
        <f t="shared" si="3"/>
        <v>0</v>
      </c>
      <c r="J33" s="63">
        <f t="shared" si="3"/>
        <v>0</v>
      </c>
      <c r="K33" s="63">
        <f t="shared" si="3"/>
        <v>0</v>
      </c>
      <c r="L33" s="63">
        <f t="shared" si="3"/>
        <v>0</v>
      </c>
      <c r="M33" s="63">
        <f t="shared" si="3"/>
        <v>0</v>
      </c>
      <c r="N33" s="63">
        <f t="shared" si="3"/>
        <v>0</v>
      </c>
      <c r="O33" s="63">
        <f t="shared" si="3"/>
        <v>0</v>
      </c>
      <c r="P33" s="63"/>
      <c r="Q33" s="63"/>
      <c r="R33" s="63"/>
      <c r="S33" s="63">
        <f t="shared" si="4"/>
        <v>0</v>
      </c>
      <c r="T33" s="63">
        <f t="shared" si="4"/>
        <v>0</v>
      </c>
      <c r="V33" s="19"/>
      <c r="W33" s="19"/>
      <c r="X33" s="19"/>
    </row>
    <row r="34" spans="2:24" s="15" customFormat="1" ht="16.5" hidden="1" customHeight="1" x14ac:dyDescent="0.2">
      <c r="B34" s="32">
        <f t="shared" si="2"/>
        <v>33</v>
      </c>
      <c r="C34" s="32">
        <v>6</v>
      </c>
      <c r="D34" s="61">
        <f t="shared" si="2"/>
        <v>0</v>
      </c>
      <c r="E34" s="62">
        <v>0</v>
      </c>
      <c r="F34" s="63">
        <f t="shared" si="3"/>
        <v>0</v>
      </c>
      <c r="G34" s="63">
        <f t="shared" si="3"/>
        <v>0</v>
      </c>
      <c r="H34" s="63">
        <f t="shared" si="3"/>
        <v>0</v>
      </c>
      <c r="I34" s="63">
        <f t="shared" si="3"/>
        <v>0</v>
      </c>
      <c r="J34" s="63">
        <f t="shared" si="3"/>
        <v>0</v>
      </c>
      <c r="K34" s="63">
        <f t="shared" si="3"/>
        <v>0</v>
      </c>
      <c r="L34" s="63">
        <f t="shared" si="3"/>
        <v>0</v>
      </c>
      <c r="M34" s="63">
        <f t="shared" si="3"/>
        <v>0</v>
      </c>
      <c r="N34" s="63">
        <f t="shared" si="3"/>
        <v>0</v>
      </c>
      <c r="O34" s="63">
        <f t="shared" si="3"/>
        <v>0</v>
      </c>
      <c r="P34" s="63"/>
      <c r="Q34" s="63"/>
      <c r="R34" s="63"/>
      <c r="S34" s="63">
        <f t="shared" si="4"/>
        <v>0</v>
      </c>
      <c r="T34" s="63">
        <f t="shared" si="4"/>
        <v>0</v>
      </c>
      <c r="V34" s="19"/>
      <c r="W34" s="19"/>
      <c r="X34" s="19"/>
    </row>
    <row r="35" spans="2:24" s="15" customFormat="1" ht="16.5" hidden="1" customHeight="1" x14ac:dyDescent="0.2">
      <c r="B35" s="32">
        <f t="shared" si="2"/>
        <v>33</v>
      </c>
      <c r="C35" s="32">
        <v>7</v>
      </c>
      <c r="D35" s="61">
        <f t="shared" si="2"/>
        <v>0</v>
      </c>
      <c r="E35" s="62">
        <v>0</v>
      </c>
      <c r="F35" s="63">
        <f t="shared" si="3"/>
        <v>0</v>
      </c>
      <c r="G35" s="63">
        <f t="shared" si="3"/>
        <v>0</v>
      </c>
      <c r="H35" s="63">
        <f t="shared" si="3"/>
        <v>0</v>
      </c>
      <c r="I35" s="63">
        <f t="shared" si="3"/>
        <v>0</v>
      </c>
      <c r="J35" s="63">
        <f t="shared" si="3"/>
        <v>0</v>
      </c>
      <c r="K35" s="63">
        <f t="shared" si="3"/>
        <v>0</v>
      </c>
      <c r="L35" s="63">
        <f t="shared" si="3"/>
        <v>0</v>
      </c>
      <c r="M35" s="63">
        <f t="shared" si="3"/>
        <v>0</v>
      </c>
      <c r="N35" s="63">
        <f t="shared" si="3"/>
        <v>0</v>
      </c>
      <c r="O35" s="63">
        <f t="shared" si="3"/>
        <v>0</v>
      </c>
      <c r="P35" s="63"/>
      <c r="Q35" s="63"/>
      <c r="R35" s="63"/>
      <c r="S35" s="63">
        <f t="shared" si="4"/>
        <v>0</v>
      </c>
      <c r="T35" s="63">
        <f t="shared" si="4"/>
        <v>0</v>
      </c>
      <c r="V35" s="19"/>
      <c r="W35" s="19"/>
      <c r="X35" s="19"/>
    </row>
    <row r="36" spans="2:24" s="15" customFormat="1" ht="16.5" hidden="1" customHeight="1" x14ac:dyDescent="0.2">
      <c r="B36" s="32">
        <f t="shared" si="2"/>
        <v>33</v>
      </c>
      <c r="C36" s="32">
        <v>8</v>
      </c>
      <c r="D36" s="61">
        <f t="shared" si="2"/>
        <v>0</v>
      </c>
      <c r="E36" s="62">
        <v>0</v>
      </c>
      <c r="F36" s="63">
        <f t="shared" si="3"/>
        <v>0</v>
      </c>
      <c r="G36" s="63">
        <f t="shared" si="3"/>
        <v>0</v>
      </c>
      <c r="H36" s="63">
        <f t="shared" si="3"/>
        <v>0</v>
      </c>
      <c r="I36" s="63">
        <f t="shared" si="3"/>
        <v>0</v>
      </c>
      <c r="J36" s="63">
        <f t="shared" si="3"/>
        <v>0</v>
      </c>
      <c r="K36" s="63">
        <f t="shared" si="3"/>
        <v>0</v>
      </c>
      <c r="L36" s="63">
        <f t="shared" si="3"/>
        <v>0</v>
      </c>
      <c r="M36" s="63">
        <f t="shared" si="3"/>
        <v>0</v>
      </c>
      <c r="N36" s="63">
        <f t="shared" si="3"/>
        <v>0</v>
      </c>
      <c r="O36" s="63">
        <f t="shared" si="3"/>
        <v>0</v>
      </c>
      <c r="P36" s="63"/>
      <c r="Q36" s="63"/>
      <c r="R36" s="63"/>
      <c r="S36" s="63">
        <f t="shared" si="4"/>
        <v>0</v>
      </c>
      <c r="T36" s="63">
        <f t="shared" si="4"/>
        <v>0</v>
      </c>
      <c r="V36" s="19"/>
      <c r="W36" s="19"/>
      <c r="X36" s="19"/>
    </row>
    <row r="37" spans="2:24" s="15" customFormat="1" ht="16.5" hidden="1" customHeight="1" x14ac:dyDescent="0.2">
      <c r="B37" s="32">
        <f t="shared" si="2"/>
        <v>33</v>
      </c>
      <c r="C37" s="32">
        <v>9</v>
      </c>
      <c r="D37" s="61">
        <f t="shared" si="2"/>
        <v>0</v>
      </c>
      <c r="E37" s="62">
        <v>0</v>
      </c>
      <c r="F37" s="63">
        <f t="shared" si="3"/>
        <v>0</v>
      </c>
      <c r="G37" s="63">
        <f t="shared" si="3"/>
        <v>0</v>
      </c>
      <c r="H37" s="63">
        <f t="shared" si="3"/>
        <v>0</v>
      </c>
      <c r="I37" s="63">
        <f t="shared" si="3"/>
        <v>0</v>
      </c>
      <c r="J37" s="63">
        <f t="shared" si="3"/>
        <v>0</v>
      </c>
      <c r="K37" s="63">
        <f t="shared" si="3"/>
        <v>0</v>
      </c>
      <c r="L37" s="63">
        <f t="shared" si="3"/>
        <v>0</v>
      </c>
      <c r="M37" s="63">
        <f t="shared" si="3"/>
        <v>0</v>
      </c>
      <c r="N37" s="63">
        <f t="shared" si="3"/>
        <v>0</v>
      </c>
      <c r="O37" s="63">
        <f t="shared" si="3"/>
        <v>0</v>
      </c>
      <c r="P37" s="63"/>
      <c r="Q37" s="63"/>
      <c r="R37" s="63"/>
      <c r="S37" s="63">
        <f t="shared" si="4"/>
        <v>0</v>
      </c>
      <c r="T37" s="63">
        <f t="shared" si="4"/>
        <v>0</v>
      </c>
      <c r="V37" s="19"/>
      <c r="W37" s="19"/>
      <c r="X37" s="19"/>
    </row>
    <row r="38" spans="2:24" s="15" customFormat="1" ht="16.5" hidden="1" customHeight="1" x14ac:dyDescent="0.2">
      <c r="B38" s="32">
        <f t="shared" si="2"/>
        <v>33</v>
      </c>
      <c r="C38" s="32">
        <v>10</v>
      </c>
      <c r="D38" s="61">
        <f t="shared" si="2"/>
        <v>0</v>
      </c>
      <c r="E38" s="62">
        <v>0</v>
      </c>
      <c r="F38" s="63">
        <f t="shared" si="3"/>
        <v>0</v>
      </c>
      <c r="G38" s="63">
        <f t="shared" si="3"/>
        <v>0</v>
      </c>
      <c r="H38" s="63">
        <f t="shared" si="3"/>
        <v>0</v>
      </c>
      <c r="I38" s="63">
        <f t="shared" si="3"/>
        <v>0</v>
      </c>
      <c r="J38" s="63">
        <f t="shared" si="3"/>
        <v>0</v>
      </c>
      <c r="K38" s="63">
        <f t="shared" si="3"/>
        <v>0</v>
      </c>
      <c r="L38" s="63">
        <f t="shared" si="3"/>
        <v>0</v>
      </c>
      <c r="M38" s="63">
        <f t="shared" si="3"/>
        <v>0</v>
      </c>
      <c r="N38" s="63">
        <f t="shared" si="3"/>
        <v>0</v>
      </c>
      <c r="O38" s="63">
        <f t="shared" si="3"/>
        <v>0</v>
      </c>
      <c r="P38" s="63"/>
      <c r="Q38" s="63"/>
      <c r="R38" s="63"/>
      <c r="S38" s="63">
        <f t="shared" si="4"/>
        <v>0</v>
      </c>
      <c r="T38" s="63">
        <f t="shared" si="4"/>
        <v>0</v>
      </c>
      <c r="V38" s="19"/>
      <c r="W38" s="19"/>
      <c r="X38" s="19"/>
    </row>
    <row r="39" spans="2:24" s="15" customFormat="1" ht="16.5" hidden="1" customHeight="1" x14ac:dyDescent="0.2">
      <c r="B39" s="32">
        <f t="shared" si="2"/>
        <v>33</v>
      </c>
      <c r="C39" s="32">
        <v>11</v>
      </c>
      <c r="D39" s="61">
        <f t="shared" si="2"/>
        <v>0</v>
      </c>
      <c r="E39" s="62">
        <v>0</v>
      </c>
      <c r="F39" s="63">
        <f t="shared" si="3"/>
        <v>0</v>
      </c>
      <c r="G39" s="63">
        <f t="shared" si="3"/>
        <v>0</v>
      </c>
      <c r="H39" s="63">
        <f t="shared" si="3"/>
        <v>0</v>
      </c>
      <c r="I39" s="63">
        <f t="shared" si="3"/>
        <v>0</v>
      </c>
      <c r="J39" s="63">
        <f t="shared" si="3"/>
        <v>0</v>
      </c>
      <c r="K39" s="63">
        <f t="shared" si="3"/>
        <v>0</v>
      </c>
      <c r="L39" s="63">
        <f t="shared" si="3"/>
        <v>0</v>
      </c>
      <c r="M39" s="63">
        <f t="shared" si="3"/>
        <v>0</v>
      </c>
      <c r="N39" s="63">
        <f t="shared" si="3"/>
        <v>0</v>
      </c>
      <c r="O39" s="63">
        <f t="shared" si="3"/>
        <v>0</v>
      </c>
      <c r="P39" s="63"/>
      <c r="Q39" s="63"/>
      <c r="R39" s="63"/>
      <c r="S39" s="63">
        <f t="shared" si="4"/>
        <v>0</v>
      </c>
      <c r="T39" s="63">
        <f t="shared" si="4"/>
        <v>0</v>
      </c>
      <c r="V39" s="19"/>
      <c r="W39" s="19"/>
      <c r="X39" s="19"/>
    </row>
    <row r="40" spans="2:24" s="15" customFormat="1" ht="16.5" hidden="1" customHeight="1" x14ac:dyDescent="0.2">
      <c r="B40" s="32">
        <f t="shared" si="2"/>
        <v>33</v>
      </c>
      <c r="C40" s="32">
        <v>12</v>
      </c>
      <c r="D40" s="61">
        <f t="shared" si="2"/>
        <v>0</v>
      </c>
      <c r="E40" s="62">
        <v>0</v>
      </c>
      <c r="F40" s="63">
        <f t="shared" si="3"/>
        <v>0</v>
      </c>
      <c r="G40" s="63">
        <f t="shared" si="3"/>
        <v>0</v>
      </c>
      <c r="H40" s="63">
        <f t="shared" si="3"/>
        <v>0</v>
      </c>
      <c r="I40" s="63">
        <f t="shared" si="3"/>
        <v>0</v>
      </c>
      <c r="J40" s="63">
        <f t="shared" si="3"/>
        <v>0</v>
      </c>
      <c r="K40" s="63">
        <f t="shared" si="3"/>
        <v>0</v>
      </c>
      <c r="L40" s="63">
        <f t="shared" si="3"/>
        <v>0</v>
      </c>
      <c r="M40" s="63">
        <f t="shared" si="3"/>
        <v>0</v>
      </c>
      <c r="N40" s="63">
        <f t="shared" si="3"/>
        <v>0</v>
      </c>
      <c r="O40" s="63">
        <f t="shared" si="3"/>
        <v>0</v>
      </c>
      <c r="P40" s="63"/>
      <c r="Q40" s="63"/>
      <c r="R40" s="63"/>
      <c r="S40" s="63">
        <f t="shared" si="4"/>
        <v>0</v>
      </c>
      <c r="T40" s="63">
        <f t="shared" si="4"/>
        <v>0</v>
      </c>
      <c r="V40" s="19"/>
      <c r="W40" s="19"/>
      <c r="X40" s="19"/>
    </row>
    <row r="41" spans="2:24" s="15" customFormat="1" ht="16.5" hidden="1" customHeight="1" x14ac:dyDescent="0.2">
      <c r="B41" s="32">
        <f t="shared" si="2"/>
        <v>33</v>
      </c>
      <c r="C41" s="32">
        <v>13</v>
      </c>
      <c r="D41" s="61">
        <f t="shared" si="2"/>
        <v>0</v>
      </c>
      <c r="E41" s="62">
        <v>0</v>
      </c>
      <c r="F41" s="63">
        <f t="shared" si="3"/>
        <v>0</v>
      </c>
      <c r="G41" s="63">
        <f t="shared" si="3"/>
        <v>0</v>
      </c>
      <c r="H41" s="63">
        <f t="shared" si="3"/>
        <v>0</v>
      </c>
      <c r="I41" s="63">
        <f t="shared" si="3"/>
        <v>0</v>
      </c>
      <c r="J41" s="63">
        <f t="shared" si="3"/>
        <v>0</v>
      </c>
      <c r="K41" s="63">
        <f t="shared" si="3"/>
        <v>0</v>
      </c>
      <c r="L41" s="63">
        <f t="shared" si="3"/>
        <v>0</v>
      </c>
      <c r="M41" s="63">
        <f t="shared" si="3"/>
        <v>0</v>
      </c>
      <c r="N41" s="63">
        <f t="shared" si="3"/>
        <v>0</v>
      </c>
      <c r="O41" s="63">
        <f t="shared" si="3"/>
        <v>0</v>
      </c>
      <c r="P41" s="63"/>
      <c r="Q41" s="63"/>
      <c r="R41" s="63"/>
      <c r="S41" s="63">
        <f t="shared" si="4"/>
        <v>0</v>
      </c>
      <c r="T41" s="63">
        <f t="shared" si="4"/>
        <v>0</v>
      </c>
      <c r="V41" s="19"/>
      <c r="W41" s="19"/>
      <c r="X41" s="19"/>
    </row>
    <row r="42" spans="2:24" s="15" customFormat="1" ht="16.5" hidden="1" customHeight="1" x14ac:dyDescent="0.2">
      <c r="B42" s="32">
        <f t="shared" si="2"/>
        <v>33</v>
      </c>
      <c r="C42" s="32">
        <v>14</v>
      </c>
      <c r="D42" s="61">
        <f t="shared" si="2"/>
        <v>0</v>
      </c>
      <c r="E42" s="62">
        <v>0</v>
      </c>
      <c r="F42" s="63">
        <f t="shared" si="3"/>
        <v>0</v>
      </c>
      <c r="G42" s="63">
        <f t="shared" si="3"/>
        <v>0</v>
      </c>
      <c r="H42" s="63">
        <f t="shared" si="3"/>
        <v>0</v>
      </c>
      <c r="I42" s="63">
        <f t="shared" si="3"/>
        <v>0</v>
      </c>
      <c r="J42" s="63">
        <f t="shared" si="3"/>
        <v>0</v>
      </c>
      <c r="K42" s="63">
        <f t="shared" si="3"/>
        <v>0</v>
      </c>
      <c r="L42" s="63">
        <f t="shared" si="3"/>
        <v>0</v>
      </c>
      <c r="M42" s="63">
        <f t="shared" si="3"/>
        <v>0</v>
      </c>
      <c r="N42" s="63">
        <f t="shared" si="3"/>
        <v>0</v>
      </c>
      <c r="O42" s="63">
        <f t="shared" si="3"/>
        <v>0</v>
      </c>
      <c r="P42" s="63"/>
      <c r="Q42" s="63"/>
      <c r="R42" s="63"/>
      <c r="S42" s="63">
        <f t="shared" si="4"/>
        <v>0</v>
      </c>
      <c r="T42" s="63">
        <f t="shared" si="4"/>
        <v>0</v>
      </c>
      <c r="V42" s="19"/>
      <c r="W42" s="19"/>
      <c r="X42" s="19"/>
    </row>
    <row r="43" spans="2:24" s="15" customFormat="1" ht="16.5" hidden="1" customHeight="1" x14ac:dyDescent="0.2">
      <c r="B43" s="32">
        <f t="shared" si="2"/>
        <v>33</v>
      </c>
      <c r="C43" s="32">
        <v>15</v>
      </c>
      <c r="D43" s="61">
        <f t="shared" si="2"/>
        <v>0</v>
      </c>
      <c r="E43" s="62">
        <v>0</v>
      </c>
      <c r="F43" s="63">
        <f t="shared" si="3"/>
        <v>0</v>
      </c>
      <c r="G43" s="63">
        <f t="shared" si="3"/>
        <v>0</v>
      </c>
      <c r="H43" s="63">
        <f t="shared" si="3"/>
        <v>0</v>
      </c>
      <c r="I43" s="63">
        <f t="shared" si="3"/>
        <v>0</v>
      </c>
      <c r="J43" s="63">
        <f t="shared" si="3"/>
        <v>0</v>
      </c>
      <c r="K43" s="63">
        <f t="shared" si="3"/>
        <v>0</v>
      </c>
      <c r="L43" s="63">
        <f t="shared" si="3"/>
        <v>0</v>
      </c>
      <c r="M43" s="63">
        <f t="shared" si="3"/>
        <v>0</v>
      </c>
      <c r="N43" s="63">
        <f t="shared" si="3"/>
        <v>0</v>
      </c>
      <c r="O43" s="63">
        <f t="shared" si="3"/>
        <v>0</v>
      </c>
      <c r="P43" s="63"/>
      <c r="Q43" s="63"/>
      <c r="R43" s="63"/>
      <c r="S43" s="63">
        <f t="shared" si="4"/>
        <v>0</v>
      </c>
      <c r="T43" s="63">
        <f t="shared" si="4"/>
        <v>0</v>
      </c>
      <c r="V43" s="19"/>
      <c r="W43" s="19"/>
      <c r="X43" s="19"/>
    </row>
    <row r="44" spans="2:24" s="15" customFormat="1" ht="16.5" hidden="1" customHeight="1" x14ac:dyDescent="0.2">
      <c r="B44" s="25"/>
      <c r="C44" s="25"/>
      <c r="D44" s="26" t="s">
        <v>24</v>
      </c>
      <c r="E44" s="53">
        <v>100</v>
      </c>
      <c r="F44" s="54"/>
      <c r="G44" s="53">
        <f>X7</f>
        <v>0</v>
      </c>
      <c r="H44" s="53"/>
      <c r="I44" s="53">
        <f>X9</f>
        <v>0</v>
      </c>
      <c r="J44" s="53">
        <f>X10</f>
        <v>0</v>
      </c>
      <c r="K44" s="53"/>
      <c r="L44" s="53"/>
      <c r="M44" s="54">
        <f>X13</f>
        <v>0</v>
      </c>
      <c r="N44" s="53">
        <f>X14</f>
        <v>0</v>
      </c>
      <c r="O44" s="53">
        <f>X15</f>
        <v>0</v>
      </c>
      <c r="P44" s="53"/>
      <c r="Q44" s="55"/>
      <c r="R44" s="55"/>
      <c r="S44" s="3"/>
      <c r="T44" s="52"/>
      <c r="V44" s="19"/>
      <c r="W44" s="19"/>
      <c r="X44" s="19"/>
    </row>
    <row r="45" spans="2:24" s="27" customFormat="1" ht="16.5" hidden="1" customHeight="1" x14ac:dyDescent="0.2">
      <c r="B45" s="39"/>
      <c r="C45" s="39"/>
      <c r="D45" s="65" t="s">
        <v>20</v>
      </c>
      <c r="E45" s="66">
        <f>SUM(E29:E43)</f>
        <v>0</v>
      </c>
      <c r="F45" s="67">
        <f t="shared" ref="F45:O45" si="5">SUM(F29:F43)</f>
        <v>0</v>
      </c>
      <c r="G45" s="66">
        <f t="shared" si="5"/>
        <v>0</v>
      </c>
      <c r="H45" s="68">
        <f t="shared" si="5"/>
        <v>0</v>
      </c>
      <c r="I45" s="69">
        <f t="shared" si="5"/>
        <v>0</v>
      </c>
      <c r="J45" s="68">
        <f>SUM(J29:J44)</f>
        <v>0</v>
      </c>
      <c r="K45" s="69">
        <f t="shared" si="5"/>
        <v>0</v>
      </c>
      <c r="L45" s="69">
        <f t="shared" si="5"/>
        <v>0</v>
      </c>
      <c r="M45" s="70">
        <f t="shared" si="5"/>
        <v>0</v>
      </c>
      <c r="N45" s="66">
        <f t="shared" si="5"/>
        <v>0</v>
      </c>
      <c r="O45" s="66">
        <f t="shared" si="5"/>
        <v>0</v>
      </c>
      <c r="P45" s="66"/>
      <c r="Q45" s="71"/>
      <c r="R45" s="71"/>
      <c r="S45" s="60"/>
      <c r="T45" s="72"/>
      <c r="V45" s="19"/>
      <c r="W45" s="19"/>
      <c r="X45" s="19"/>
    </row>
    <row r="46" spans="2:24" s="27" customFormat="1" ht="16.5" hidden="1" customHeight="1" x14ac:dyDescent="0.2">
      <c r="B46" s="25"/>
      <c r="C46" s="25"/>
      <c r="D46" s="26" t="s">
        <v>25</v>
      </c>
      <c r="E46" s="56"/>
      <c r="F46" s="54"/>
      <c r="G46" s="54"/>
      <c r="H46" s="53"/>
      <c r="I46" s="53">
        <f>Y9</f>
        <v>0</v>
      </c>
      <c r="J46" s="53">
        <f>Y10</f>
        <v>0</v>
      </c>
      <c r="K46" s="53">
        <f>Y11</f>
        <v>0</v>
      </c>
      <c r="L46" s="53"/>
      <c r="M46" s="54">
        <f>Y13</f>
        <v>0</v>
      </c>
      <c r="N46" s="53">
        <f>Y14</f>
        <v>0</v>
      </c>
      <c r="O46" s="54">
        <f>Y15</f>
        <v>0</v>
      </c>
      <c r="P46" s="53"/>
      <c r="Q46" s="55"/>
      <c r="R46" s="55"/>
      <c r="S46" s="3"/>
      <c r="T46" s="52"/>
    </row>
    <row r="47" spans="2:24" s="15" customFormat="1" hidden="1" x14ac:dyDescent="0.2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 x14ac:dyDescent="0.2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 x14ac:dyDescent="0.2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 x14ac:dyDescent="0.2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 x14ac:dyDescent="0.2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 x14ac:dyDescent="0.2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 x14ac:dyDescent="0.2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 x14ac:dyDescent="0.2">
      <c r="V54" s="15"/>
    </row>
    <row r="55" spans="5:22" ht="15" customHeight="1" x14ac:dyDescent="0.2">
      <c r="V55" s="15"/>
    </row>
    <row r="56" spans="5:22" ht="15" customHeight="1" x14ac:dyDescent="0.2">
      <c r="V56" s="15"/>
    </row>
    <row r="57" spans="5:22" ht="15" customHeight="1" x14ac:dyDescent="0.2">
      <c r="V57" s="15"/>
    </row>
    <row r="58" spans="5:22" ht="15" customHeight="1" x14ac:dyDescent="0.2">
      <c r="V58" s="15"/>
    </row>
    <row r="59" spans="5:22" ht="15" customHeight="1" x14ac:dyDescent="0.2">
      <c r="V59" s="15"/>
    </row>
    <row r="60" spans="5:22" ht="15" customHeight="1" x14ac:dyDescent="0.2"/>
    <row r="61" spans="5:22" ht="15" customHeight="1" x14ac:dyDescent="0.2"/>
    <row r="62" spans="5:22" ht="15" customHeight="1" x14ac:dyDescent="0.2"/>
    <row r="63" spans="5:22" ht="15" customHeight="1" x14ac:dyDescent="0.2"/>
    <row r="64" spans="5:22" ht="15" customHeight="1" x14ac:dyDescent="0.2"/>
    <row r="65" spans="2:16" ht="15" customHeight="1" x14ac:dyDescent="0.2"/>
    <row r="66" spans="2:16" ht="15" customHeight="1" x14ac:dyDescent="0.2"/>
    <row r="68" spans="2:16" x14ac:dyDescent="0.2">
      <c r="B68" s="23"/>
      <c r="C68" s="23"/>
      <c r="D68" s="19"/>
      <c r="E68" s="18"/>
      <c r="F68" s="51"/>
      <c r="G68" s="51"/>
      <c r="H68" s="18"/>
      <c r="I68" s="18"/>
      <c r="J68" s="18"/>
      <c r="K68" s="18"/>
      <c r="L68" s="18"/>
      <c r="M68" s="16"/>
      <c r="N68" s="16"/>
      <c r="O68" s="16"/>
      <c r="P68" s="16"/>
    </row>
    <row r="69" spans="2:16" x14ac:dyDescent="0.2">
      <c r="B69" s="23"/>
      <c r="C69" s="23"/>
      <c r="D69" s="19"/>
      <c r="E69" s="18"/>
      <c r="F69" s="51"/>
      <c r="G69" s="51"/>
      <c r="H69" s="18"/>
      <c r="I69" s="18"/>
      <c r="J69" s="18"/>
      <c r="K69" s="18"/>
      <c r="L69" s="20"/>
      <c r="M69" s="16"/>
      <c r="N69" s="16"/>
      <c r="O69" s="16"/>
      <c r="P69" s="16"/>
    </row>
    <row r="70" spans="2:16" x14ac:dyDescent="0.2">
      <c r="B70" s="23"/>
      <c r="C70" s="23"/>
      <c r="D70" s="19"/>
      <c r="E70" s="18"/>
      <c r="F70" s="51"/>
      <c r="G70" s="51"/>
      <c r="H70" s="18"/>
      <c r="I70" s="18"/>
      <c r="J70" s="18"/>
      <c r="K70" s="18"/>
      <c r="L70" s="20"/>
      <c r="M70" s="16"/>
      <c r="N70" s="16"/>
      <c r="O70" s="16"/>
      <c r="P70" s="16"/>
    </row>
    <row r="71" spans="2:16" x14ac:dyDescent="0.2">
      <c r="L71" s="16"/>
      <c r="M71" s="16"/>
      <c r="N71" s="16"/>
      <c r="O71" s="16"/>
      <c r="P71" s="16"/>
    </row>
    <row r="72" spans="2:16" x14ac:dyDescent="0.2">
      <c r="L72" s="16"/>
      <c r="M72" s="16"/>
      <c r="N72" s="16"/>
      <c r="O72" s="16"/>
      <c r="P72" s="16"/>
    </row>
    <row r="73" spans="2:16" x14ac:dyDescent="0.2">
      <c r="L73" s="16"/>
      <c r="M73" s="16"/>
      <c r="N73" s="16"/>
      <c r="O73" s="16"/>
      <c r="P73" s="16"/>
    </row>
    <row r="74" spans="2:16" x14ac:dyDescent="0.2">
      <c r="L74" s="16"/>
      <c r="M74" s="16"/>
      <c r="N74" s="16"/>
      <c r="O74" s="16"/>
      <c r="P74" s="16"/>
    </row>
    <row r="75" spans="2:16" x14ac:dyDescent="0.2">
      <c r="L75" s="16"/>
      <c r="M75" s="16"/>
      <c r="N75" s="16"/>
      <c r="O75" s="16"/>
      <c r="P75" s="16"/>
    </row>
    <row r="76" spans="2:16" x14ac:dyDescent="0.2">
      <c r="L76" s="16"/>
      <c r="M76" s="16"/>
      <c r="N76" s="16"/>
      <c r="O76" s="16"/>
      <c r="P76" s="16"/>
    </row>
    <row r="77" spans="2:16" x14ac:dyDescent="0.2">
      <c r="L77" s="16"/>
      <c r="M77" s="16"/>
      <c r="N77" s="16"/>
      <c r="O77" s="16"/>
      <c r="P77" s="16"/>
    </row>
    <row r="78" spans="2:16" x14ac:dyDescent="0.2">
      <c r="L78" s="16"/>
      <c r="M78" s="16"/>
      <c r="N78" s="16"/>
      <c r="O78" s="16"/>
      <c r="P78" s="16"/>
    </row>
    <row r="79" spans="2:16" x14ac:dyDescent="0.2">
      <c r="L79" s="16"/>
      <c r="M79" s="16"/>
      <c r="N79" s="16"/>
      <c r="O79" s="16"/>
      <c r="P79" s="16"/>
    </row>
    <row r="80" spans="2:16" x14ac:dyDescent="0.2">
      <c r="L80" s="16"/>
      <c r="M80" s="16"/>
      <c r="N80" s="16"/>
      <c r="O80" s="16"/>
      <c r="P80" s="16"/>
    </row>
    <row r="81" spans="12:16" x14ac:dyDescent="0.2">
      <c r="L81" s="16"/>
      <c r="M81" s="16"/>
      <c r="N81" s="16"/>
      <c r="O81" s="16"/>
      <c r="P81" s="16"/>
    </row>
    <row r="82" spans="12:16" x14ac:dyDescent="0.2">
      <c r="L82" s="16"/>
      <c r="M82" s="16"/>
      <c r="N82" s="16"/>
      <c r="O82" s="16"/>
      <c r="P82" s="16"/>
    </row>
    <row r="83" spans="12:16" x14ac:dyDescent="0.2">
      <c r="L83" s="16"/>
      <c r="M83" s="16"/>
      <c r="N83" s="16"/>
      <c r="O83" s="16"/>
      <c r="P83" s="16"/>
    </row>
    <row r="84" spans="12:16" x14ac:dyDescent="0.2">
      <c r="L84" s="16"/>
      <c r="M84" s="16"/>
      <c r="N84" s="16"/>
      <c r="O84" s="16"/>
      <c r="P84" s="16"/>
    </row>
    <row r="85" spans="12:16" x14ac:dyDescent="0.2">
      <c r="L85" s="16"/>
      <c r="M85" s="16"/>
      <c r="N85" s="16"/>
      <c r="O85" s="16"/>
      <c r="P85" s="16"/>
    </row>
    <row r="86" spans="12:16" x14ac:dyDescent="0.2">
      <c r="L86" s="16"/>
      <c r="M86" s="16"/>
      <c r="N86" s="16"/>
      <c r="O86" s="16"/>
      <c r="P86" s="16"/>
    </row>
    <row r="87" spans="12:16" x14ac:dyDescent="0.2">
      <c r="L87" s="16"/>
      <c r="M87" s="16"/>
      <c r="N87" s="16"/>
      <c r="O87" s="16"/>
      <c r="P87" s="16"/>
    </row>
    <row r="88" spans="12:16" x14ac:dyDescent="0.2">
      <c r="L88" s="16"/>
      <c r="M88" s="16"/>
      <c r="N88" s="16"/>
      <c r="O88" s="16"/>
      <c r="P88" s="16"/>
    </row>
    <row r="89" spans="12:16" x14ac:dyDescent="0.2">
      <c r="L89" s="16"/>
      <c r="M89" s="16"/>
      <c r="N89" s="16"/>
      <c r="O89" s="16"/>
      <c r="P89" s="16"/>
    </row>
    <row r="90" spans="12:16" x14ac:dyDescent="0.2">
      <c r="L90" s="16"/>
      <c r="M90" s="16"/>
      <c r="N90" s="16"/>
      <c r="O90" s="16"/>
      <c r="P90" s="16"/>
    </row>
    <row r="91" spans="12:16" x14ac:dyDescent="0.2">
      <c r="L91" s="16"/>
      <c r="M91" s="16"/>
      <c r="N91" s="16"/>
      <c r="O91" s="16"/>
      <c r="P91" s="16"/>
    </row>
    <row r="92" spans="12:16" x14ac:dyDescent="0.2">
      <c r="L92" s="16"/>
      <c r="M92" s="16"/>
      <c r="N92" s="16"/>
      <c r="O92" s="16"/>
      <c r="P92" s="16"/>
    </row>
    <row r="93" spans="12:16" x14ac:dyDescent="0.2">
      <c r="L93" s="16"/>
      <c r="M93" s="16"/>
      <c r="N93" s="16"/>
      <c r="O93" s="16"/>
      <c r="P93" s="16"/>
    </row>
    <row r="94" spans="12:16" x14ac:dyDescent="0.2">
      <c r="L94" s="16"/>
      <c r="M94" s="16"/>
      <c r="N94" s="16"/>
      <c r="O94" s="16"/>
      <c r="P94" s="16"/>
    </row>
    <row r="95" spans="12:16" x14ac:dyDescent="0.2">
      <c r="L95" s="16"/>
      <c r="M95" s="16"/>
      <c r="N95" s="16"/>
      <c r="O95" s="16"/>
      <c r="P95" s="16"/>
    </row>
    <row r="96" spans="12:16" x14ac:dyDescent="0.2">
      <c r="L96" s="16"/>
      <c r="M96" s="16"/>
      <c r="N96" s="16"/>
      <c r="O96" s="16"/>
      <c r="P96" s="16"/>
    </row>
    <row r="97" spans="12:16" x14ac:dyDescent="0.2">
      <c r="L97" s="16"/>
      <c r="M97" s="16"/>
      <c r="N97" s="16"/>
      <c r="O97" s="16"/>
      <c r="P97" s="16"/>
    </row>
    <row r="98" spans="12:16" x14ac:dyDescent="0.2">
      <c r="L98" s="16"/>
      <c r="M98" s="16"/>
      <c r="N98" s="16"/>
      <c r="O98" s="16"/>
      <c r="P98" s="16"/>
    </row>
    <row r="99" spans="12:16" x14ac:dyDescent="0.2">
      <c r="L99" s="16"/>
      <c r="M99" s="16"/>
      <c r="N99" s="16"/>
      <c r="O99" s="16"/>
      <c r="P99" s="16"/>
    </row>
    <row r="100" spans="12:16" x14ac:dyDescent="0.2">
      <c r="L100" s="16"/>
      <c r="M100" s="16"/>
      <c r="N100" s="16"/>
      <c r="O100" s="16"/>
      <c r="P100" s="16"/>
    </row>
    <row r="101" spans="12:16" x14ac:dyDescent="0.2">
      <c r="L101" s="16"/>
      <c r="M101" s="16"/>
      <c r="N101" s="16"/>
      <c r="O101" s="16"/>
      <c r="P101" s="16"/>
    </row>
    <row r="102" spans="12:16" x14ac:dyDescent="0.2">
      <c r="L102" s="16"/>
      <c r="M102" s="16"/>
      <c r="N102" s="16"/>
      <c r="O102" s="16"/>
      <c r="P102" s="16"/>
    </row>
    <row r="103" spans="12:16" x14ac:dyDescent="0.2">
      <c r="L103" s="16"/>
      <c r="M103" s="16"/>
      <c r="N103" s="16"/>
      <c r="O103" s="16"/>
      <c r="P103" s="16"/>
    </row>
    <row r="104" spans="12:16" x14ac:dyDescent="0.2">
      <c r="L104" s="16"/>
      <c r="M104" s="16"/>
      <c r="N104" s="16"/>
      <c r="O104" s="16"/>
      <c r="P104" s="16"/>
    </row>
    <row r="105" spans="12:16" x14ac:dyDescent="0.2">
      <c r="L105" s="16"/>
      <c r="M105" s="16"/>
      <c r="N105" s="16"/>
      <c r="O105" s="16"/>
      <c r="P105" s="16"/>
    </row>
    <row r="106" spans="12:16" x14ac:dyDescent="0.2">
      <c r="L106" s="16"/>
      <c r="M106" s="16"/>
      <c r="N106" s="16"/>
      <c r="O106" s="16"/>
      <c r="P106" s="16"/>
    </row>
    <row r="107" spans="12:16" x14ac:dyDescent="0.2">
      <c r="L107" s="16"/>
      <c r="M107" s="16"/>
      <c r="N107" s="16"/>
      <c r="O107" s="16"/>
      <c r="P107" s="16"/>
    </row>
    <row r="108" spans="12:16" x14ac:dyDescent="0.2">
      <c r="L108" s="16"/>
      <c r="M108" s="16"/>
      <c r="N108" s="16"/>
      <c r="O108" s="16"/>
      <c r="P108" s="16"/>
    </row>
    <row r="109" spans="12:16" x14ac:dyDescent="0.2">
      <c r="L109" s="16"/>
      <c r="M109" s="16"/>
      <c r="N109" s="16"/>
      <c r="O109" s="16"/>
      <c r="P109" s="16"/>
    </row>
    <row r="110" spans="12:16" x14ac:dyDescent="0.2">
      <c r="L110" s="16"/>
      <c r="M110" s="16"/>
      <c r="N110" s="16"/>
      <c r="O110" s="16"/>
      <c r="P110" s="16"/>
    </row>
    <row r="111" spans="12:16" x14ac:dyDescent="0.2">
      <c r="L111" s="16"/>
      <c r="M111" s="16"/>
      <c r="N111" s="16"/>
      <c r="O111" s="16"/>
      <c r="P111" s="16"/>
    </row>
    <row r="112" spans="12:16" x14ac:dyDescent="0.2">
      <c r="L112" s="16"/>
      <c r="M112" s="16"/>
      <c r="N112" s="16"/>
      <c r="O112" s="16"/>
      <c r="P112" s="16"/>
    </row>
    <row r="113" spans="12:16" x14ac:dyDescent="0.2">
      <c r="L113" s="16"/>
      <c r="M113" s="16"/>
      <c r="N113" s="16"/>
      <c r="O113" s="16"/>
      <c r="P113" s="16"/>
    </row>
    <row r="114" spans="12:16" x14ac:dyDescent="0.2">
      <c r="L114" s="16"/>
      <c r="M114" s="16"/>
      <c r="N114" s="16"/>
      <c r="O114" s="16"/>
      <c r="P114" s="16"/>
    </row>
    <row r="115" spans="12:16" x14ac:dyDescent="0.2">
      <c r="L115" s="16"/>
      <c r="M115" s="16"/>
      <c r="N115" s="16"/>
      <c r="O115" s="16"/>
      <c r="P115" s="16"/>
    </row>
    <row r="116" spans="12:16" x14ac:dyDescent="0.2">
      <c r="L116" s="16"/>
      <c r="M116" s="16"/>
      <c r="N116" s="16"/>
      <c r="O116" s="16"/>
      <c r="P116" s="16"/>
    </row>
    <row r="117" spans="12:16" x14ac:dyDescent="0.2">
      <c r="L117" s="16"/>
      <c r="M117" s="16"/>
      <c r="N117" s="16"/>
      <c r="O117" s="16"/>
      <c r="P117" s="16"/>
    </row>
    <row r="118" spans="12:16" x14ac:dyDescent="0.2">
      <c r="L118" s="16"/>
      <c r="M118" s="16"/>
      <c r="N118" s="16"/>
      <c r="O118" s="16"/>
      <c r="P118" s="16"/>
    </row>
    <row r="119" spans="12:16" x14ac:dyDescent="0.2">
      <c r="L119" s="16"/>
      <c r="M119" s="16"/>
      <c r="N119" s="16"/>
      <c r="O119" s="16"/>
      <c r="P119" s="16"/>
    </row>
    <row r="120" spans="12:16" x14ac:dyDescent="0.2">
      <c r="L120" s="16"/>
      <c r="M120" s="16"/>
      <c r="N120" s="16"/>
      <c r="O120" s="16"/>
      <c r="P120" s="16"/>
    </row>
    <row r="121" spans="12:16" x14ac:dyDescent="0.2">
      <c r="L121" s="16"/>
      <c r="M121" s="16"/>
      <c r="N121" s="16"/>
      <c r="O121" s="16"/>
      <c r="P121" s="16"/>
    </row>
    <row r="122" spans="12:16" x14ac:dyDescent="0.2">
      <c r="L122" s="16"/>
      <c r="M122" s="16"/>
      <c r="N122" s="16"/>
      <c r="O122" s="16"/>
      <c r="P122" s="16"/>
    </row>
    <row r="123" spans="12:16" x14ac:dyDescent="0.2">
      <c r="L123" s="16"/>
      <c r="M123" s="16"/>
      <c r="N123" s="16"/>
      <c r="O123" s="16"/>
      <c r="P123" s="16"/>
    </row>
    <row r="124" spans="12:16" x14ac:dyDescent="0.2">
      <c r="L124" s="16"/>
      <c r="M124" s="16"/>
      <c r="N124" s="16"/>
      <c r="O124" s="16"/>
      <c r="P124" s="16"/>
    </row>
    <row r="125" spans="12:16" x14ac:dyDescent="0.2">
      <c r="L125" s="16"/>
      <c r="M125" s="16"/>
      <c r="N125" s="16"/>
      <c r="O125" s="16"/>
      <c r="P125" s="16"/>
    </row>
    <row r="126" spans="12:16" x14ac:dyDescent="0.2">
      <c r="L126" s="16"/>
      <c r="M126" s="16"/>
      <c r="N126" s="16"/>
      <c r="O126" s="16"/>
      <c r="P126" s="16"/>
    </row>
    <row r="127" spans="12:16" x14ac:dyDescent="0.2">
      <c r="L127" s="16"/>
      <c r="M127" s="16"/>
      <c r="N127" s="16"/>
      <c r="O127" s="16"/>
      <c r="P127" s="16"/>
    </row>
    <row r="128" spans="12:16" x14ac:dyDescent="0.2">
      <c r="L128" s="16"/>
      <c r="M128" s="16"/>
      <c r="N128" s="16"/>
      <c r="O128" s="16"/>
      <c r="P128" s="16"/>
    </row>
    <row r="129" spans="12:16" x14ac:dyDescent="0.2">
      <c r="L129" s="16"/>
      <c r="M129" s="16"/>
      <c r="N129" s="16"/>
      <c r="O129" s="16"/>
      <c r="P129" s="16"/>
    </row>
    <row r="130" spans="12:16" x14ac:dyDescent="0.2">
      <c r="L130" s="16"/>
      <c r="M130" s="16"/>
      <c r="N130" s="16"/>
      <c r="O130" s="16"/>
      <c r="P130" s="16"/>
    </row>
    <row r="131" spans="12:16" x14ac:dyDescent="0.2">
      <c r="L131" s="16"/>
      <c r="M131" s="16"/>
      <c r="N131" s="16"/>
      <c r="O131" s="16"/>
      <c r="P131" s="16"/>
    </row>
    <row r="132" spans="12:16" x14ac:dyDescent="0.2">
      <c r="L132" s="16"/>
      <c r="M132" s="16"/>
      <c r="N132" s="16"/>
      <c r="O132" s="16"/>
      <c r="P132" s="16"/>
    </row>
    <row r="133" spans="12:16" x14ac:dyDescent="0.2">
      <c r="L133" s="16"/>
      <c r="M133" s="16"/>
      <c r="N133" s="16"/>
      <c r="O133" s="16"/>
      <c r="P133" s="16"/>
    </row>
    <row r="134" spans="12:16" x14ac:dyDescent="0.2">
      <c r="L134" s="16"/>
      <c r="M134" s="16"/>
      <c r="N134" s="16"/>
      <c r="O134" s="16"/>
      <c r="P134" s="16"/>
    </row>
    <row r="135" spans="12:16" x14ac:dyDescent="0.2">
      <c r="L135" s="16"/>
      <c r="M135" s="16"/>
      <c r="N135" s="16"/>
      <c r="O135" s="16"/>
      <c r="P135" s="16"/>
    </row>
    <row r="136" spans="12:16" x14ac:dyDescent="0.2">
      <c r="L136" s="16"/>
      <c r="M136" s="16"/>
      <c r="N136" s="16"/>
      <c r="O136" s="16"/>
      <c r="P136" s="16"/>
    </row>
    <row r="137" spans="12:16" x14ac:dyDescent="0.2">
      <c r="L137" s="16"/>
      <c r="M137" s="16"/>
      <c r="N137" s="16"/>
      <c r="O137" s="16"/>
      <c r="P137" s="16"/>
    </row>
    <row r="138" spans="12:16" x14ac:dyDescent="0.2">
      <c r="L138" s="16"/>
      <c r="M138" s="16"/>
      <c r="N138" s="16"/>
      <c r="O138" s="16"/>
      <c r="P138" s="16"/>
    </row>
    <row r="139" spans="12:16" x14ac:dyDescent="0.2">
      <c r="L139" s="16"/>
      <c r="M139" s="16"/>
      <c r="N139" s="16"/>
      <c r="O139" s="16"/>
      <c r="P139" s="16"/>
    </row>
    <row r="140" spans="12:16" x14ac:dyDescent="0.2">
      <c r="L140" s="16"/>
      <c r="M140" s="16"/>
      <c r="N140" s="16"/>
      <c r="O140" s="16"/>
      <c r="P140" s="16"/>
    </row>
    <row r="141" spans="12:16" x14ac:dyDescent="0.2">
      <c r="L141" s="16"/>
      <c r="M141" s="16"/>
      <c r="N141" s="16"/>
      <c r="O141" s="16"/>
      <c r="P141" s="16"/>
    </row>
    <row r="142" spans="12:16" x14ac:dyDescent="0.2">
      <c r="L142" s="16"/>
      <c r="M142" s="16"/>
      <c r="N142" s="16"/>
      <c r="O142" s="16"/>
      <c r="P142" s="16"/>
    </row>
    <row r="143" spans="12:16" x14ac:dyDescent="0.2">
      <c r="L143" s="16"/>
      <c r="M143" s="16"/>
      <c r="N143" s="16"/>
      <c r="O143" s="16"/>
      <c r="P143" s="16"/>
    </row>
    <row r="144" spans="12:16" x14ac:dyDescent="0.2">
      <c r="L144" s="16"/>
      <c r="M144" s="16"/>
      <c r="N144" s="16"/>
      <c r="O144" s="16"/>
      <c r="P144" s="16"/>
    </row>
    <row r="145" spans="12:16" x14ac:dyDescent="0.2">
      <c r="L145" s="16"/>
      <c r="M145" s="16"/>
      <c r="N145" s="16"/>
      <c r="O145" s="16"/>
      <c r="P145" s="16"/>
    </row>
    <row r="146" spans="12:16" x14ac:dyDescent="0.2">
      <c r="L146" s="16"/>
      <c r="M146" s="16"/>
      <c r="N146" s="16"/>
      <c r="O146" s="16"/>
      <c r="P146" s="16"/>
    </row>
    <row r="147" spans="12:16" x14ac:dyDescent="0.2">
      <c r="L147" s="16"/>
      <c r="M147" s="16"/>
      <c r="N147" s="16"/>
      <c r="O147" s="16"/>
      <c r="P147" s="16"/>
    </row>
    <row r="148" spans="12:16" x14ac:dyDescent="0.2">
      <c r="L148" s="16"/>
      <c r="M148" s="16"/>
      <c r="N148" s="16"/>
      <c r="O148" s="16"/>
      <c r="P148" s="16"/>
    </row>
    <row r="149" spans="12:16" x14ac:dyDescent="0.2">
      <c r="L149" s="16"/>
      <c r="M149" s="16"/>
      <c r="N149" s="16"/>
      <c r="O149" s="16"/>
      <c r="P149" s="16"/>
    </row>
    <row r="150" spans="12:16" x14ac:dyDescent="0.2">
      <c r="L150" s="16"/>
      <c r="M150" s="16"/>
      <c r="N150" s="16"/>
      <c r="O150" s="16"/>
      <c r="P150" s="16"/>
    </row>
    <row r="151" spans="12:16" x14ac:dyDescent="0.2">
      <c r="L151" s="16"/>
      <c r="M151" s="16"/>
      <c r="N151" s="16"/>
      <c r="O151" s="16"/>
      <c r="P151" s="16"/>
    </row>
    <row r="152" spans="12:16" x14ac:dyDescent="0.2">
      <c r="L152" s="16"/>
      <c r="M152" s="16"/>
      <c r="N152" s="16"/>
      <c r="O152" s="16"/>
      <c r="P152" s="16"/>
    </row>
    <row r="153" spans="12:16" x14ac:dyDescent="0.2">
      <c r="L153" s="16"/>
      <c r="M153" s="16"/>
      <c r="N153" s="16"/>
      <c r="O153" s="16"/>
      <c r="P153" s="16"/>
    </row>
    <row r="154" spans="12:16" x14ac:dyDescent="0.2">
      <c r="L154" s="16"/>
      <c r="M154" s="16"/>
      <c r="N154" s="16"/>
      <c r="O154" s="16"/>
      <c r="P154" s="16"/>
    </row>
    <row r="155" spans="12:16" x14ac:dyDescent="0.2">
      <c r="L155" s="16"/>
      <c r="M155" s="16"/>
      <c r="N155" s="16"/>
      <c r="O155" s="16"/>
      <c r="P155" s="16"/>
    </row>
    <row r="156" spans="12:16" x14ac:dyDescent="0.2">
      <c r="L156" s="16"/>
      <c r="M156" s="16"/>
      <c r="N156" s="16"/>
      <c r="O156" s="16"/>
      <c r="P156" s="16"/>
    </row>
    <row r="157" spans="12:16" x14ac:dyDescent="0.2">
      <c r="L157" s="16"/>
      <c r="M157" s="16"/>
      <c r="N157" s="16"/>
      <c r="O157" s="16"/>
      <c r="P157" s="16"/>
    </row>
    <row r="158" spans="12:16" x14ac:dyDescent="0.2">
      <c r="L158" s="16"/>
      <c r="M158" s="16"/>
      <c r="N158" s="16"/>
      <c r="O158" s="16"/>
      <c r="P158" s="16"/>
    </row>
    <row r="159" spans="12:16" x14ac:dyDescent="0.2">
      <c r="L159" s="16"/>
      <c r="M159" s="16"/>
      <c r="N159" s="16"/>
      <c r="O159" s="16"/>
      <c r="P159" s="16"/>
    </row>
    <row r="160" spans="12:16" x14ac:dyDescent="0.2">
      <c r="L160" s="16"/>
      <c r="M160" s="16"/>
      <c r="N160" s="16"/>
      <c r="O160" s="16"/>
      <c r="P160" s="16"/>
    </row>
    <row r="161" spans="12:16" x14ac:dyDescent="0.2">
      <c r="L161" s="16"/>
      <c r="M161" s="16"/>
      <c r="N161" s="16"/>
      <c r="O161" s="16"/>
      <c r="P161" s="16"/>
    </row>
    <row r="162" spans="12:16" x14ac:dyDescent="0.2">
      <c r="L162" s="16"/>
      <c r="M162" s="16"/>
      <c r="N162" s="16"/>
      <c r="O162" s="16"/>
      <c r="P162" s="16"/>
    </row>
    <row r="163" spans="12:16" x14ac:dyDescent="0.2">
      <c r="L163" s="16"/>
      <c r="M163" s="16"/>
      <c r="N163" s="16"/>
      <c r="O163" s="16"/>
      <c r="P163" s="16"/>
    </row>
    <row r="164" spans="12:16" x14ac:dyDescent="0.2">
      <c r="L164" s="16"/>
      <c r="M164" s="16"/>
      <c r="N164" s="16"/>
      <c r="O164" s="16"/>
      <c r="P164" s="16"/>
    </row>
    <row r="165" spans="12:16" x14ac:dyDescent="0.2">
      <c r="L165" s="16"/>
      <c r="M165" s="16"/>
      <c r="N165" s="16"/>
      <c r="O165" s="16"/>
      <c r="P165" s="16"/>
    </row>
    <row r="166" spans="12:16" x14ac:dyDescent="0.2">
      <c r="L166" s="16"/>
      <c r="M166" s="16"/>
      <c r="N166" s="16"/>
      <c r="O166" s="16"/>
      <c r="P166" s="16"/>
    </row>
    <row r="167" spans="12:16" x14ac:dyDescent="0.2">
      <c r="L167" s="16"/>
      <c r="M167" s="16"/>
      <c r="N167" s="16"/>
      <c r="O167" s="16"/>
      <c r="P167" s="16"/>
    </row>
    <row r="168" spans="12:16" x14ac:dyDescent="0.2">
      <c r="L168" s="16"/>
      <c r="M168" s="16"/>
      <c r="N168" s="16"/>
      <c r="O168" s="16"/>
      <c r="P168" s="16"/>
    </row>
    <row r="169" spans="12:16" x14ac:dyDescent="0.2">
      <c r="L169" s="16"/>
      <c r="M169" s="16"/>
      <c r="N169" s="16"/>
      <c r="O169" s="16"/>
      <c r="P169" s="16"/>
    </row>
    <row r="170" spans="12:16" x14ac:dyDescent="0.2">
      <c r="L170" s="16"/>
      <c r="M170" s="16"/>
      <c r="N170" s="16"/>
      <c r="O170" s="16"/>
      <c r="P170" s="16"/>
    </row>
    <row r="171" spans="12:16" x14ac:dyDescent="0.2">
      <c r="L171" s="16"/>
      <c r="M171" s="16"/>
      <c r="N171" s="16"/>
      <c r="O171" s="16"/>
      <c r="P171" s="16"/>
    </row>
    <row r="172" spans="12:16" x14ac:dyDescent="0.2">
      <c r="L172" s="16"/>
      <c r="M172" s="16"/>
      <c r="N172" s="16"/>
      <c r="O172" s="16"/>
      <c r="P172" s="16"/>
    </row>
    <row r="173" spans="12:16" x14ac:dyDescent="0.2">
      <c r="L173" s="16"/>
      <c r="M173" s="16"/>
      <c r="N173" s="16"/>
      <c r="O173" s="16"/>
      <c r="P173" s="16"/>
    </row>
    <row r="174" spans="12:16" x14ac:dyDescent="0.2">
      <c r="L174" s="16"/>
      <c r="M174" s="16"/>
      <c r="N174" s="16"/>
      <c r="O174" s="16"/>
      <c r="P174" s="16"/>
    </row>
    <row r="175" spans="12:16" x14ac:dyDescent="0.2">
      <c r="L175" s="16"/>
      <c r="M175" s="16"/>
      <c r="N175" s="16"/>
      <c r="O175" s="16"/>
      <c r="P175" s="16"/>
    </row>
    <row r="176" spans="12:16" x14ac:dyDescent="0.2">
      <c r="L176" s="16"/>
      <c r="M176" s="16"/>
      <c r="N176" s="16"/>
      <c r="O176" s="16"/>
      <c r="P176" s="16"/>
    </row>
    <row r="177" spans="12:16" x14ac:dyDescent="0.2">
      <c r="L177" s="16"/>
      <c r="M177" s="16"/>
      <c r="N177" s="16"/>
      <c r="O177" s="16"/>
      <c r="P177" s="16"/>
    </row>
    <row r="178" spans="12:16" x14ac:dyDescent="0.2">
      <c r="L178" s="16"/>
      <c r="M178" s="16"/>
      <c r="N178" s="16"/>
      <c r="O178" s="16"/>
      <c r="P178" s="16"/>
    </row>
    <row r="179" spans="12:16" x14ac:dyDescent="0.2">
      <c r="L179" s="16"/>
      <c r="M179" s="16"/>
      <c r="N179" s="16"/>
      <c r="O179" s="16"/>
      <c r="P179" s="16"/>
    </row>
    <row r="180" spans="12:16" x14ac:dyDescent="0.2">
      <c r="L180" s="16"/>
      <c r="M180" s="16"/>
      <c r="N180" s="16"/>
      <c r="O180" s="16"/>
      <c r="P180" s="16"/>
    </row>
    <row r="181" spans="12:16" x14ac:dyDescent="0.2">
      <c r="L181" s="16"/>
      <c r="M181" s="16"/>
      <c r="N181" s="16"/>
      <c r="O181" s="16"/>
      <c r="P181" s="16"/>
    </row>
    <row r="182" spans="12:16" x14ac:dyDescent="0.2">
      <c r="L182" s="16"/>
      <c r="M182" s="16"/>
      <c r="N182" s="16"/>
      <c r="O182" s="16"/>
      <c r="P182" s="16"/>
    </row>
    <row r="183" spans="12:16" x14ac:dyDescent="0.2">
      <c r="L183" s="16"/>
      <c r="M183" s="16"/>
      <c r="N183" s="16"/>
      <c r="O183" s="16"/>
      <c r="P183" s="16"/>
    </row>
    <row r="184" spans="12:16" x14ac:dyDescent="0.2">
      <c r="L184" s="16"/>
      <c r="M184" s="16"/>
      <c r="N184" s="16"/>
      <c r="O184" s="16"/>
      <c r="P184" s="16"/>
    </row>
    <row r="185" spans="12:16" x14ac:dyDescent="0.2">
      <c r="L185" s="16"/>
      <c r="M185" s="16"/>
      <c r="N185" s="16"/>
      <c r="O185" s="16"/>
      <c r="P185" s="16"/>
    </row>
    <row r="186" spans="12:16" x14ac:dyDescent="0.2">
      <c r="L186" s="16"/>
      <c r="M186" s="16"/>
      <c r="N186" s="16"/>
      <c r="O186" s="16"/>
      <c r="P186" s="16"/>
    </row>
    <row r="187" spans="12:16" x14ac:dyDescent="0.2">
      <c r="L187" s="16"/>
      <c r="M187" s="16"/>
      <c r="N187" s="16"/>
      <c r="O187" s="16"/>
      <c r="P187" s="16"/>
    </row>
    <row r="188" spans="12:16" x14ac:dyDescent="0.2">
      <c r="L188" s="16"/>
      <c r="M188" s="16"/>
      <c r="N188" s="16"/>
      <c r="O188" s="16"/>
      <c r="P188" s="16"/>
    </row>
    <row r="189" spans="12:16" x14ac:dyDescent="0.2">
      <c r="L189" s="16"/>
      <c r="M189" s="16"/>
      <c r="N189" s="16"/>
      <c r="O189" s="16"/>
      <c r="P189" s="16"/>
    </row>
    <row r="190" spans="12:16" x14ac:dyDescent="0.2">
      <c r="L190" s="16"/>
      <c r="M190" s="16"/>
      <c r="N190" s="16"/>
      <c r="O190" s="16"/>
      <c r="P190" s="16"/>
    </row>
    <row r="191" spans="12:16" x14ac:dyDescent="0.2">
      <c r="L191" s="16"/>
      <c r="M191" s="16"/>
      <c r="N191" s="16"/>
      <c r="O191" s="16"/>
      <c r="P191" s="16"/>
    </row>
    <row r="192" spans="12:16" x14ac:dyDescent="0.2">
      <c r="L192" s="16"/>
      <c r="M192" s="16"/>
      <c r="N192" s="16"/>
      <c r="O192" s="16"/>
      <c r="P192" s="16"/>
    </row>
    <row r="193" spans="12:16" x14ac:dyDescent="0.2">
      <c r="L193" s="16"/>
      <c r="M193" s="16"/>
      <c r="N193" s="16"/>
      <c r="O193" s="16"/>
      <c r="P193" s="16"/>
    </row>
    <row r="194" spans="12:16" x14ac:dyDescent="0.2">
      <c r="L194" s="16"/>
      <c r="M194" s="16"/>
      <c r="N194" s="16"/>
      <c r="O194" s="16"/>
      <c r="P194" s="16"/>
    </row>
    <row r="195" spans="12:16" x14ac:dyDescent="0.2">
      <c r="L195" s="16"/>
      <c r="M195" s="16"/>
      <c r="N195" s="16"/>
      <c r="O195" s="16"/>
      <c r="P195" s="16"/>
    </row>
    <row r="196" spans="12:16" x14ac:dyDescent="0.2">
      <c r="L196" s="16"/>
      <c r="M196" s="16"/>
      <c r="N196" s="16"/>
      <c r="O196" s="16"/>
      <c r="P196" s="16"/>
    </row>
    <row r="197" spans="12:16" x14ac:dyDescent="0.2">
      <c r="L197" s="16"/>
      <c r="M197" s="16"/>
      <c r="N197" s="16"/>
      <c r="O197" s="16"/>
      <c r="P197" s="16"/>
    </row>
    <row r="198" spans="12:16" x14ac:dyDescent="0.2">
      <c r="L198" s="16"/>
      <c r="M198" s="16"/>
      <c r="N198" s="16"/>
      <c r="O198" s="16"/>
      <c r="P198" s="16"/>
    </row>
    <row r="199" spans="12:16" x14ac:dyDescent="0.2">
      <c r="L199" s="16"/>
      <c r="M199" s="16"/>
      <c r="N199" s="16"/>
      <c r="O199" s="16"/>
      <c r="P199" s="16"/>
    </row>
    <row r="200" spans="12:16" x14ac:dyDescent="0.2">
      <c r="L200" s="16"/>
      <c r="M200" s="16"/>
      <c r="N200" s="16"/>
      <c r="O200" s="16"/>
      <c r="P200" s="16"/>
    </row>
    <row r="201" spans="12:16" x14ac:dyDescent="0.2">
      <c r="L201" s="16"/>
      <c r="M201" s="16"/>
      <c r="N201" s="16"/>
      <c r="O201" s="16"/>
      <c r="P201" s="16"/>
    </row>
    <row r="202" spans="12:16" x14ac:dyDescent="0.2">
      <c r="L202" s="16"/>
      <c r="M202" s="16"/>
      <c r="N202" s="16"/>
      <c r="O202" s="16"/>
      <c r="P202" s="16"/>
    </row>
    <row r="203" spans="12:16" x14ac:dyDescent="0.2">
      <c r="L203" s="16"/>
      <c r="M203" s="16"/>
      <c r="N203" s="16"/>
      <c r="O203" s="16"/>
      <c r="P203" s="16"/>
    </row>
    <row r="204" spans="12:16" x14ac:dyDescent="0.2">
      <c r="L204" s="16"/>
      <c r="M204" s="16"/>
      <c r="N204" s="16"/>
      <c r="O204" s="16"/>
      <c r="P204" s="16"/>
    </row>
    <row r="205" spans="12:16" x14ac:dyDescent="0.2">
      <c r="L205" s="16"/>
      <c r="M205" s="16"/>
      <c r="N205" s="16"/>
      <c r="O205" s="16"/>
      <c r="P205" s="16"/>
    </row>
    <row r="206" spans="12:16" x14ac:dyDescent="0.2">
      <c r="L206" s="16"/>
      <c r="M206" s="16"/>
      <c r="N206" s="16"/>
      <c r="O206" s="16"/>
      <c r="P206" s="16"/>
    </row>
    <row r="207" spans="12:16" x14ac:dyDescent="0.2">
      <c r="L207" s="16"/>
      <c r="M207" s="16"/>
      <c r="N207" s="16"/>
      <c r="O207" s="16"/>
      <c r="P207" s="16"/>
    </row>
    <row r="208" spans="12:16" x14ac:dyDescent="0.2">
      <c r="L208" s="16"/>
      <c r="M208" s="16"/>
      <c r="N208" s="16"/>
      <c r="O208" s="16"/>
      <c r="P208" s="16"/>
    </row>
    <row r="209" spans="12:16" x14ac:dyDescent="0.2">
      <c r="L209" s="16"/>
      <c r="M209" s="16"/>
      <c r="N209" s="16"/>
      <c r="O209" s="16"/>
      <c r="P209" s="16"/>
    </row>
    <row r="210" spans="12:16" x14ac:dyDescent="0.2">
      <c r="L210" s="16"/>
      <c r="M210" s="16"/>
      <c r="N210" s="16"/>
      <c r="O210" s="16"/>
      <c r="P210" s="16"/>
    </row>
    <row r="211" spans="12:16" x14ac:dyDescent="0.2">
      <c r="L211" s="16"/>
      <c r="M211" s="16"/>
      <c r="N211" s="16"/>
      <c r="O211" s="16"/>
      <c r="P211" s="16"/>
    </row>
    <row r="212" spans="12:16" x14ac:dyDescent="0.2">
      <c r="L212" s="16"/>
      <c r="M212" s="16"/>
      <c r="N212" s="16"/>
      <c r="O212" s="16"/>
      <c r="P212" s="16"/>
    </row>
    <row r="213" spans="12:16" x14ac:dyDescent="0.2">
      <c r="L213" s="16"/>
      <c r="M213" s="16"/>
      <c r="N213" s="16"/>
      <c r="O213" s="16"/>
      <c r="P213" s="16"/>
    </row>
    <row r="214" spans="12:16" x14ac:dyDescent="0.2">
      <c r="L214" s="16"/>
      <c r="M214" s="16"/>
      <c r="N214" s="16"/>
      <c r="O214" s="16"/>
      <c r="P214" s="16"/>
    </row>
    <row r="215" spans="12:16" x14ac:dyDescent="0.2">
      <c r="L215" s="16"/>
      <c r="M215" s="16"/>
      <c r="N215" s="16"/>
      <c r="O215" s="16"/>
      <c r="P215" s="16"/>
    </row>
    <row r="216" spans="12:16" x14ac:dyDescent="0.2">
      <c r="L216" s="16"/>
      <c r="M216" s="16"/>
      <c r="N216" s="16"/>
      <c r="O216" s="16"/>
      <c r="P216" s="16"/>
    </row>
    <row r="217" spans="12:16" x14ac:dyDescent="0.2">
      <c r="L217" s="16"/>
      <c r="M217" s="16"/>
      <c r="N217" s="16"/>
      <c r="O217" s="16"/>
      <c r="P217" s="16"/>
    </row>
    <row r="218" spans="12:16" x14ac:dyDescent="0.2">
      <c r="L218" s="16"/>
      <c r="M218" s="16"/>
      <c r="N218" s="16"/>
      <c r="O218" s="16"/>
      <c r="P218" s="16"/>
    </row>
    <row r="219" spans="12:16" x14ac:dyDescent="0.2">
      <c r="L219" s="16"/>
      <c r="M219" s="16"/>
      <c r="N219" s="16"/>
      <c r="O219" s="16"/>
      <c r="P219" s="16"/>
    </row>
    <row r="220" spans="12:16" x14ac:dyDescent="0.2">
      <c r="L220" s="16"/>
      <c r="M220" s="16"/>
      <c r="N220" s="16"/>
      <c r="O220" s="16"/>
      <c r="P220" s="16"/>
    </row>
    <row r="221" spans="12:16" x14ac:dyDescent="0.2">
      <c r="L221" s="16"/>
      <c r="M221" s="16"/>
      <c r="N221" s="16"/>
      <c r="O221" s="16"/>
      <c r="P221" s="16"/>
    </row>
    <row r="222" spans="12:16" x14ac:dyDescent="0.2">
      <c r="L222" s="16"/>
      <c r="M222" s="16"/>
      <c r="N222" s="16"/>
      <c r="O222" s="16"/>
      <c r="P222" s="16"/>
    </row>
    <row r="223" spans="12:16" x14ac:dyDescent="0.2">
      <c r="L223" s="16"/>
      <c r="M223" s="16"/>
      <c r="N223" s="16"/>
      <c r="O223" s="16"/>
      <c r="P223" s="16"/>
    </row>
    <row r="224" spans="12:16" x14ac:dyDescent="0.2">
      <c r="L224" s="16"/>
      <c r="M224" s="16"/>
      <c r="N224" s="16"/>
      <c r="O224" s="16"/>
      <c r="P224" s="16"/>
    </row>
    <row r="225" spans="12:16" x14ac:dyDescent="0.2">
      <c r="L225" s="16"/>
      <c r="M225" s="16"/>
      <c r="N225" s="16"/>
      <c r="O225" s="16"/>
      <c r="P225" s="16"/>
    </row>
    <row r="226" spans="12:16" x14ac:dyDescent="0.2">
      <c r="L226" s="16"/>
      <c r="M226" s="16"/>
      <c r="N226" s="16"/>
      <c r="O226" s="16"/>
      <c r="P226" s="16"/>
    </row>
    <row r="227" spans="12:16" x14ac:dyDescent="0.2">
      <c r="L227" s="16"/>
      <c r="M227" s="16"/>
      <c r="N227" s="16"/>
      <c r="O227" s="16"/>
      <c r="P227" s="16"/>
    </row>
    <row r="228" spans="12:16" x14ac:dyDescent="0.2">
      <c r="L228" s="16"/>
      <c r="M228" s="16"/>
      <c r="N228" s="16"/>
      <c r="O228" s="16"/>
      <c r="P228" s="16"/>
    </row>
    <row r="229" spans="12:16" x14ac:dyDescent="0.2">
      <c r="L229" s="16"/>
      <c r="M229" s="16"/>
      <c r="N229" s="16"/>
      <c r="O229" s="16"/>
      <c r="P229" s="16"/>
    </row>
    <row r="230" spans="12:16" x14ac:dyDescent="0.2">
      <c r="L230" s="16"/>
      <c r="M230" s="16"/>
      <c r="N230" s="16"/>
      <c r="O230" s="16"/>
      <c r="P230" s="16"/>
    </row>
    <row r="231" spans="12:16" x14ac:dyDescent="0.2">
      <c r="L231" s="16"/>
      <c r="M231" s="16"/>
      <c r="N231" s="16"/>
      <c r="O231" s="16"/>
      <c r="P231" s="16"/>
    </row>
    <row r="232" spans="12:16" x14ac:dyDescent="0.2">
      <c r="L232" s="16"/>
      <c r="M232" s="16"/>
      <c r="N232" s="16"/>
      <c r="O232" s="16"/>
      <c r="P232" s="16"/>
    </row>
    <row r="233" spans="12:16" x14ac:dyDescent="0.2">
      <c r="L233" s="16"/>
      <c r="M233" s="16"/>
      <c r="N233" s="16"/>
      <c r="O233" s="16"/>
      <c r="P233" s="16"/>
    </row>
    <row r="234" spans="12:16" x14ac:dyDescent="0.2">
      <c r="L234" s="16"/>
      <c r="M234" s="16"/>
      <c r="N234" s="16"/>
      <c r="O234" s="16"/>
      <c r="P234" s="16"/>
    </row>
    <row r="235" spans="12:16" x14ac:dyDescent="0.2">
      <c r="L235" s="16"/>
      <c r="M235" s="16"/>
      <c r="N235" s="16"/>
      <c r="O235" s="16"/>
      <c r="P235" s="16"/>
    </row>
    <row r="236" spans="12:16" x14ac:dyDescent="0.2">
      <c r="L236" s="16"/>
      <c r="M236" s="16"/>
      <c r="N236" s="16"/>
      <c r="O236" s="16"/>
      <c r="P236" s="16"/>
    </row>
    <row r="237" spans="12:16" x14ac:dyDescent="0.2">
      <c r="L237" s="16"/>
      <c r="M237" s="16"/>
      <c r="N237" s="16"/>
      <c r="O237" s="16"/>
      <c r="P237" s="16"/>
    </row>
    <row r="238" spans="12:16" x14ac:dyDescent="0.2">
      <c r="L238" s="16"/>
      <c r="M238" s="16"/>
      <c r="N238" s="16"/>
      <c r="O238" s="16"/>
      <c r="P238" s="16"/>
    </row>
    <row r="239" spans="12:16" x14ac:dyDescent="0.2">
      <c r="L239" s="16"/>
      <c r="M239" s="16"/>
      <c r="N239" s="16"/>
      <c r="O239" s="16"/>
      <c r="P239" s="16"/>
    </row>
    <row r="240" spans="12:16" x14ac:dyDescent="0.2">
      <c r="L240" s="16"/>
      <c r="M240" s="16"/>
      <c r="N240" s="16"/>
      <c r="O240" s="16"/>
      <c r="P240" s="16"/>
    </row>
    <row r="241" spans="12:16" x14ac:dyDescent="0.2">
      <c r="L241" s="16"/>
      <c r="M241" s="16"/>
      <c r="N241" s="16"/>
      <c r="O241" s="16"/>
      <c r="P241" s="16"/>
    </row>
    <row r="242" spans="12:16" x14ac:dyDescent="0.2">
      <c r="L242" s="16"/>
      <c r="M242" s="16"/>
      <c r="N242" s="16"/>
      <c r="O242" s="16"/>
      <c r="P242" s="16"/>
    </row>
    <row r="243" spans="12:16" x14ac:dyDescent="0.2">
      <c r="L243" s="16"/>
      <c r="M243" s="16"/>
      <c r="N243" s="16"/>
      <c r="O243" s="16"/>
      <c r="P243" s="16"/>
    </row>
    <row r="244" spans="12:16" x14ac:dyDescent="0.2">
      <c r="L244" s="16"/>
      <c r="M244" s="16"/>
      <c r="N244" s="16"/>
      <c r="O244" s="16"/>
      <c r="P244" s="16"/>
    </row>
    <row r="245" spans="12:16" x14ac:dyDescent="0.2">
      <c r="L245" s="16"/>
      <c r="M245" s="16"/>
      <c r="N245" s="16"/>
      <c r="O245" s="16"/>
      <c r="P245" s="16"/>
    </row>
    <row r="246" spans="12:16" x14ac:dyDescent="0.2">
      <c r="L246" s="16"/>
      <c r="M246" s="16"/>
      <c r="N246" s="16"/>
      <c r="O246" s="16"/>
      <c r="P246" s="16"/>
    </row>
    <row r="247" spans="12:16" x14ac:dyDescent="0.2">
      <c r="L247" s="16"/>
      <c r="M247" s="16"/>
      <c r="N247" s="16"/>
      <c r="O247" s="16"/>
      <c r="P247" s="16"/>
    </row>
    <row r="248" spans="12:16" x14ac:dyDescent="0.2">
      <c r="L248" s="16"/>
      <c r="M248" s="16"/>
      <c r="N248" s="16"/>
      <c r="O248" s="16"/>
      <c r="P248" s="16"/>
    </row>
    <row r="249" spans="12:16" x14ac:dyDescent="0.2">
      <c r="L249" s="16"/>
      <c r="M249" s="16"/>
      <c r="N249" s="16"/>
      <c r="O249" s="16"/>
      <c r="P249" s="16"/>
    </row>
    <row r="250" spans="12:16" x14ac:dyDescent="0.2">
      <c r="L250" s="16"/>
      <c r="M250" s="16"/>
      <c r="N250" s="16"/>
      <c r="O250" s="16"/>
      <c r="P250" s="16"/>
    </row>
    <row r="251" spans="12:16" x14ac:dyDescent="0.2">
      <c r="L251" s="16"/>
      <c r="M251" s="16"/>
      <c r="N251" s="16"/>
      <c r="O251" s="16"/>
      <c r="P251" s="16"/>
    </row>
    <row r="252" spans="12:16" x14ac:dyDescent="0.2">
      <c r="L252" s="16"/>
      <c r="M252" s="16"/>
      <c r="N252" s="16"/>
      <c r="O252" s="16"/>
      <c r="P252" s="16"/>
    </row>
    <row r="253" spans="12:16" x14ac:dyDescent="0.2">
      <c r="L253" s="16"/>
      <c r="M253" s="16"/>
      <c r="N253" s="16"/>
      <c r="O253" s="16"/>
      <c r="P253" s="16"/>
    </row>
    <row r="254" spans="12:16" x14ac:dyDescent="0.2">
      <c r="L254" s="16"/>
      <c r="M254" s="16"/>
      <c r="N254" s="16"/>
      <c r="O254" s="16"/>
      <c r="P254" s="16"/>
    </row>
    <row r="255" spans="12:16" x14ac:dyDescent="0.2">
      <c r="L255" s="16"/>
      <c r="M255" s="16"/>
      <c r="N255" s="16"/>
      <c r="O255" s="16"/>
      <c r="P255" s="16"/>
    </row>
    <row r="256" spans="12:16" x14ac:dyDescent="0.2">
      <c r="L256" s="16"/>
      <c r="M256" s="16"/>
      <c r="N256" s="16"/>
      <c r="O256" s="16"/>
      <c r="P256" s="16"/>
    </row>
    <row r="257" spans="12:16" x14ac:dyDescent="0.2">
      <c r="L257" s="16"/>
      <c r="M257" s="16"/>
      <c r="N257" s="16"/>
      <c r="O257" s="16"/>
      <c r="P257" s="16"/>
    </row>
    <row r="258" spans="12:16" x14ac:dyDescent="0.2">
      <c r="L258" s="16"/>
      <c r="M258" s="16"/>
      <c r="N258" s="16"/>
      <c r="O258" s="16"/>
      <c r="P258" s="16"/>
    </row>
    <row r="259" spans="12:16" x14ac:dyDescent="0.2">
      <c r="L259" s="16"/>
      <c r="M259" s="16"/>
      <c r="N259" s="16"/>
      <c r="O259" s="16"/>
      <c r="P259" s="16"/>
    </row>
    <row r="260" spans="12:16" x14ac:dyDescent="0.2">
      <c r="L260" s="16"/>
      <c r="M260" s="16"/>
      <c r="N260" s="16"/>
      <c r="O260" s="16"/>
      <c r="P260" s="16"/>
    </row>
    <row r="261" spans="12:16" x14ac:dyDescent="0.2">
      <c r="L261" s="16"/>
      <c r="M261" s="16"/>
      <c r="N261" s="16"/>
      <c r="O261" s="16"/>
      <c r="P261" s="16"/>
    </row>
    <row r="262" spans="12:16" x14ac:dyDescent="0.2">
      <c r="L262" s="16"/>
      <c r="M262" s="16"/>
      <c r="N262" s="16"/>
      <c r="O262" s="16"/>
      <c r="P262" s="16"/>
    </row>
    <row r="263" spans="12:16" x14ac:dyDescent="0.2">
      <c r="L263" s="16"/>
      <c r="M263" s="16"/>
      <c r="N263" s="16"/>
      <c r="O263" s="16"/>
      <c r="P263" s="16"/>
    </row>
    <row r="264" spans="12:16" x14ac:dyDescent="0.2">
      <c r="L264" s="16"/>
      <c r="M264" s="16"/>
      <c r="N264" s="16"/>
      <c r="O264" s="16"/>
      <c r="P264" s="16"/>
    </row>
    <row r="265" spans="12:16" x14ac:dyDescent="0.2">
      <c r="L265" s="16"/>
      <c r="M265" s="16"/>
      <c r="N265" s="16"/>
      <c r="O265" s="16"/>
      <c r="P265" s="16"/>
    </row>
    <row r="266" spans="12:16" x14ac:dyDescent="0.2">
      <c r="L266" s="16"/>
      <c r="M266" s="16"/>
      <c r="N266" s="16"/>
      <c r="O266" s="16"/>
      <c r="P266" s="16"/>
    </row>
    <row r="267" spans="12:16" x14ac:dyDescent="0.2">
      <c r="L267" s="16"/>
      <c r="M267" s="16"/>
      <c r="N267" s="16"/>
      <c r="O267" s="16"/>
      <c r="P267" s="16"/>
    </row>
    <row r="268" spans="12:16" x14ac:dyDescent="0.2">
      <c r="L268" s="16"/>
      <c r="M268" s="16"/>
      <c r="N268" s="16"/>
      <c r="O268" s="16"/>
      <c r="P268" s="16"/>
    </row>
    <row r="269" spans="12:16" x14ac:dyDescent="0.2">
      <c r="L269" s="16"/>
      <c r="M269" s="16"/>
      <c r="N269" s="16"/>
      <c r="O269" s="16"/>
      <c r="P269" s="16"/>
    </row>
    <row r="270" spans="12:16" x14ac:dyDescent="0.2">
      <c r="L270" s="16"/>
      <c r="M270" s="16"/>
      <c r="N270" s="16"/>
      <c r="O270" s="16"/>
      <c r="P270" s="16"/>
    </row>
    <row r="271" spans="12:16" x14ac:dyDescent="0.2">
      <c r="L271" s="16"/>
      <c r="M271" s="16"/>
      <c r="N271" s="16"/>
      <c r="O271" s="16"/>
      <c r="P271" s="16"/>
    </row>
    <row r="272" spans="12:16" x14ac:dyDescent="0.2">
      <c r="L272" s="16"/>
      <c r="M272" s="16"/>
      <c r="N272" s="16"/>
      <c r="O272" s="16"/>
      <c r="P272" s="16"/>
    </row>
    <row r="273" spans="12:16" x14ac:dyDescent="0.2">
      <c r="L273" s="16"/>
      <c r="M273" s="16"/>
      <c r="N273" s="16"/>
      <c r="O273" s="16"/>
      <c r="P273" s="16"/>
    </row>
    <row r="274" spans="12:16" x14ac:dyDescent="0.2">
      <c r="L274" s="16"/>
      <c r="M274" s="16"/>
      <c r="N274" s="16"/>
      <c r="O274" s="16"/>
      <c r="P274" s="16"/>
    </row>
    <row r="275" spans="12:16" x14ac:dyDescent="0.2">
      <c r="L275" s="16"/>
      <c r="M275" s="16"/>
      <c r="N275" s="16"/>
      <c r="O275" s="16"/>
      <c r="P275" s="16"/>
    </row>
    <row r="276" spans="12:16" x14ac:dyDescent="0.2">
      <c r="L276" s="16"/>
      <c r="M276" s="16"/>
      <c r="N276" s="16"/>
      <c r="O276" s="16"/>
      <c r="P276" s="16"/>
    </row>
    <row r="277" spans="12:16" x14ac:dyDescent="0.2">
      <c r="L277" s="16"/>
      <c r="M277" s="16"/>
      <c r="N277" s="16"/>
      <c r="O277" s="16"/>
      <c r="P277" s="16"/>
    </row>
    <row r="278" spans="12:16" x14ac:dyDescent="0.2">
      <c r="L278" s="16"/>
      <c r="M278" s="16"/>
      <c r="N278" s="16"/>
      <c r="O278" s="16"/>
      <c r="P278" s="16"/>
    </row>
    <row r="279" spans="12:16" x14ac:dyDescent="0.2">
      <c r="L279" s="16"/>
      <c r="M279" s="16"/>
      <c r="N279" s="16"/>
      <c r="O279" s="16"/>
      <c r="P279" s="16"/>
    </row>
    <row r="280" spans="12:16" x14ac:dyDescent="0.2">
      <c r="L280" s="16"/>
      <c r="M280" s="16"/>
      <c r="N280" s="16"/>
      <c r="O280" s="16"/>
      <c r="P280" s="16"/>
    </row>
    <row r="281" spans="12:16" x14ac:dyDescent="0.2">
      <c r="L281" s="16"/>
      <c r="M281" s="16"/>
      <c r="N281" s="16"/>
      <c r="O281" s="16"/>
      <c r="P281" s="16"/>
    </row>
    <row r="282" spans="12:16" x14ac:dyDescent="0.2">
      <c r="L282" s="16"/>
      <c r="M282" s="16"/>
      <c r="N282" s="16"/>
      <c r="O282" s="16"/>
      <c r="P282" s="16"/>
    </row>
    <row r="283" spans="12:16" x14ac:dyDescent="0.2">
      <c r="L283" s="16"/>
      <c r="M283" s="16"/>
      <c r="N283" s="16"/>
      <c r="O283" s="16"/>
      <c r="P283" s="16"/>
    </row>
    <row r="284" spans="12:16" x14ac:dyDescent="0.2">
      <c r="L284" s="16"/>
      <c r="M284" s="16"/>
      <c r="N284" s="16"/>
      <c r="O284" s="16"/>
      <c r="P284" s="16"/>
    </row>
    <row r="285" spans="12:16" x14ac:dyDescent="0.2">
      <c r="L285" s="16"/>
      <c r="M285" s="16"/>
      <c r="N285" s="16"/>
      <c r="O285" s="16"/>
      <c r="P285" s="16"/>
    </row>
    <row r="286" spans="12:16" x14ac:dyDescent="0.2">
      <c r="L286" s="16"/>
      <c r="M286" s="16"/>
      <c r="N286" s="16"/>
      <c r="O286" s="16"/>
      <c r="P286" s="16"/>
    </row>
    <row r="287" spans="12:16" x14ac:dyDescent="0.2">
      <c r="L287" s="16"/>
      <c r="M287" s="16"/>
      <c r="N287" s="16"/>
      <c r="O287" s="16"/>
      <c r="P287" s="16"/>
    </row>
    <row r="288" spans="12:16" x14ac:dyDescent="0.2">
      <c r="L288" s="16"/>
      <c r="M288" s="16"/>
      <c r="N288" s="16"/>
      <c r="O288" s="16"/>
      <c r="P288" s="16"/>
    </row>
    <row r="289" spans="12:16" x14ac:dyDescent="0.2">
      <c r="L289" s="16"/>
      <c r="M289" s="16"/>
      <c r="N289" s="16"/>
      <c r="O289" s="16"/>
      <c r="P289" s="16"/>
    </row>
    <row r="290" spans="12:16" x14ac:dyDescent="0.2">
      <c r="L290" s="16"/>
      <c r="M290" s="16"/>
      <c r="N290" s="16"/>
      <c r="O290" s="16"/>
      <c r="P290" s="16"/>
    </row>
    <row r="291" spans="12:16" x14ac:dyDescent="0.2">
      <c r="L291" s="16"/>
      <c r="M291" s="16"/>
      <c r="N291" s="16"/>
      <c r="O291" s="16"/>
      <c r="P291" s="16"/>
    </row>
    <row r="292" spans="12:16" x14ac:dyDescent="0.2">
      <c r="L292" s="16"/>
      <c r="M292" s="16"/>
      <c r="N292" s="16"/>
      <c r="O292" s="16"/>
      <c r="P292" s="16"/>
    </row>
    <row r="293" spans="12:16" x14ac:dyDescent="0.2">
      <c r="L293" s="16"/>
      <c r="M293" s="16"/>
      <c r="N293" s="16"/>
      <c r="O293" s="16"/>
      <c r="P293" s="16"/>
    </row>
    <row r="294" spans="12:16" x14ac:dyDescent="0.2">
      <c r="L294" s="16"/>
      <c r="M294" s="16"/>
      <c r="N294" s="16"/>
      <c r="O294" s="16"/>
      <c r="P294" s="16"/>
    </row>
    <row r="295" spans="12:16" x14ac:dyDescent="0.2">
      <c r="L295" s="16"/>
      <c r="M295" s="16"/>
      <c r="N295" s="16"/>
      <c r="O295" s="16"/>
      <c r="P295" s="16"/>
    </row>
    <row r="296" spans="12:16" x14ac:dyDescent="0.2">
      <c r="L296" s="16"/>
      <c r="M296" s="16"/>
      <c r="N296" s="16"/>
      <c r="O296" s="16"/>
      <c r="P296" s="16"/>
    </row>
    <row r="297" spans="12:16" x14ac:dyDescent="0.2">
      <c r="L297" s="16"/>
      <c r="M297" s="16"/>
      <c r="N297" s="16"/>
      <c r="O297" s="16"/>
      <c r="P297" s="16"/>
    </row>
    <row r="298" spans="12:16" x14ac:dyDescent="0.2">
      <c r="L298" s="16"/>
      <c r="M298" s="16"/>
      <c r="N298" s="16"/>
      <c r="O298" s="16"/>
      <c r="P298" s="16"/>
    </row>
    <row r="299" spans="12:16" x14ac:dyDescent="0.2">
      <c r="L299" s="16"/>
      <c r="M299" s="16"/>
      <c r="N299" s="16"/>
      <c r="O299" s="16"/>
      <c r="P299" s="16"/>
    </row>
    <row r="300" spans="12:16" x14ac:dyDescent="0.2">
      <c r="L300" s="16"/>
      <c r="M300" s="16"/>
      <c r="N300" s="16"/>
      <c r="O300" s="16"/>
      <c r="P300" s="16"/>
    </row>
    <row r="301" spans="12:16" x14ac:dyDescent="0.2">
      <c r="L301" s="16"/>
      <c r="M301" s="16"/>
      <c r="N301" s="16"/>
      <c r="O301" s="16"/>
      <c r="P301" s="16"/>
    </row>
    <row r="302" spans="12:16" x14ac:dyDescent="0.2">
      <c r="L302" s="16"/>
      <c r="M302" s="16"/>
      <c r="N302" s="16"/>
      <c r="O302" s="16"/>
      <c r="P302" s="16"/>
    </row>
    <row r="303" spans="12:16" x14ac:dyDescent="0.2">
      <c r="L303" s="16"/>
      <c r="M303" s="16"/>
      <c r="N303" s="16"/>
      <c r="O303" s="16"/>
      <c r="P303" s="16"/>
    </row>
    <row r="304" spans="12:16" x14ac:dyDescent="0.2">
      <c r="L304" s="16"/>
      <c r="M304" s="16"/>
      <c r="N304" s="16"/>
      <c r="O304" s="16"/>
      <c r="P304" s="16"/>
    </row>
    <row r="305" spans="12:16" x14ac:dyDescent="0.2">
      <c r="L305" s="16"/>
      <c r="M305" s="16"/>
      <c r="N305" s="16"/>
      <c r="O305" s="16"/>
      <c r="P305" s="16"/>
    </row>
    <row r="306" spans="12:16" x14ac:dyDescent="0.2">
      <c r="L306" s="16"/>
      <c r="M306" s="16"/>
      <c r="N306" s="16"/>
      <c r="O306" s="16"/>
      <c r="P306" s="16"/>
    </row>
    <row r="307" spans="12:16" x14ac:dyDescent="0.2">
      <c r="L307" s="16"/>
      <c r="M307" s="16"/>
      <c r="N307" s="16"/>
      <c r="O307" s="16"/>
      <c r="P307" s="16"/>
    </row>
    <row r="308" spans="12:16" x14ac:dyDescent="0.2">
      <c r="L308" s="16"/>
      <c r="M308" s="16"/>
      <c r="N308" s="16"/>
      <c r="O308" s="16"/>
      <c r="P308" s="16"/>
    </row>
    <row r="309" spans="12:16" x14ac:dyDescent="0.2">
      <c r="L309" s="16"/>
      <c r="M309" s="16"/>
      <c r="N309" s="16"/>
      <c r="O309" s="16"/>
      <c r="P309" s="16"/>
    </row>
    <row r="310" spans="12:16" x14ac:dyDescent="0.2">
      <c r="L310" s="16"/>
      <c r="M310" s="16"/>
      <c r="N310" s="16"/>
      <c r="O310" s="16"/>
      <c r="P310" s="16"/>
    </row>
    <row r="311" spans="12:16" x14ac:dyDescent="0.2">
      <c r="L311" s="16"/>
      <c r="M311" s="16"/>
      <c r="N311" s="16"/>
      <c r="O311" s="16"/>
      <c r="P311" s="16"/>
    </row>
    <row r="312" spans="12:16" x14ac:dyDescent="0.2">
      <c r="L312" s="16"/>
      <c r="M312" s="16"/>
      <c r="N312" s="16"/>
      <c r="O312" s="16"/>
      <c r="P312" s="16"/>
    </row>
    <row r="313" spans="12:16" x14ac:dyDescent="0.2">
      <c r="L313" s="16"/>
      <c r="M313" s="16"/>
      <c r="N313" s="16"/>
      <c r="O313" s="16"/>
      <c r="P313" s="16"/>
    </row>
    <row r="314" spans="12:16" x14ac:dyDescent="0.2">
      <c r="L314" s="16"/>
      <c r="M314" s="16"/>
      <c r="N314" s="16"/>
      <c r="O314" s="16"/>
      <c r="P314" s="16"/>
    </row>
    <row r="315" spans="12:16" x14ac:dyDescent="0.2">
      <c r="L315" s="16"/>
      <c r="M315" s="16"/>
      <c r="N315" s="16"/>
      <c r="O315" s="16"/>
      <c r="P315" s="16"/>
    </row>
    <row r="316" spans="12:16" x14ac:dyDescent="0.2">
      <c r="L316" s="16"/>
      <c r="M316" s="16"/>
      <c r="N316" s="16"/>
      <c r="O316" s="16"/>
      <c r="P316" s="16"/>
    </row>
    <row r="317" spans="12:16" x14ac:dyDescent="0.2">
      <c r="L317" s="16"/>
      <c r="M317" s="16"/>
      <c r="N317" s="16"/>
      <c r="O317" s="16"/>
      <c r="P317" s="16"/>
    </row>
    <row r="318" spans="12:16" x14ac:dyDescent="0.2">
      <c r="L318" s="16"/>
      <c r="M318" s="16"/>
      <c r="N318" s="16"/>
      <c r="O318" s="16"/>
      <c r="P318" s="16"/>
    </row>
    <row r="319" spans="12:16" x14ac:dyDescent="0.2">
      <c r="L319" s="16"/>
      <c r="M319" s="16"/>
      <c r="N319" s="16"/>
      <c r="O319" s="16"/>
      <c r="P319" s="16"/>
    </row>
    <row r="320" spans="12:16" x14ac:dyDescent="0.2">
      <c r="L320" s="16"/>
      <c r="M320" s="16"/>
      <c r="N320" s="16"/>
      <c r="O320" s="16"/>
      <c r="P320" s="16"/>
    </row>
    <row r="321" spans="12:16" x14ac:dyDescent="0.2">
      <c r="L321" s="16"/>
      <c r="M321" s="16"/>
      <c r="N321" s="16"/>
      <c r="O321" s="16"/>
      <c r="P321" s="16"/>
    </row>
    <row r="322" spans="12:16" x14ac:dyDescent="0.2">
      <c r="L322" s="16"/>
      <c r="M322" s="16"/>
      <c r="N322" s="16"/>
      <c r="O322" s="16"/>
      <c r="P322" s="16"/>
    </row>
    <row r="323" spans="12:16" x14ac:dyDescent="0.2">
      <c r="L323" s="16"/>
      <c r="M323" s="16"/>
      <c r="N323" s="16"/>
      <c r="O323" s="16"/>
      <c r="P323" s="16"/>
    </row>
    <row r="324" spans="12:16" x14ac:dyDescent="0.2">
      <c r="L324" s="16"/>
      <c r="M324" s="16"/>
      <c r="N324" s="16"/>
      <c r="O324" s="16"/>
      <c r="P324" s="16"/>
    </row>
    <row r="325" spans="12:16" x14ac:dyDescent="0.2">
      <c r="L325" s="16"/>
      <c r="M325" s="16"/>
      <c r="N325" s="16"/>
      <c r="O325" s="16"/>
      <c r="P325" s="16"/>
    </row>
    <row r="326" spans="12:16" x14ac:dyDescent="0.2">
      <c r="L326" s="16"/>
      <c r="M326" s="16"/>
      <c r="N326" s="16"/>
      <c r="O326" s="16"/>
      <c r="P326" s="16"/>
    </row>
    <row r="327" spans="12:16" x14ac:dyDescent="0.2">
      <c r="L327" s="16"/>
      <c r="M327" s="16"/>
      <c r="N327" s="16"/>
      <c r="O327" s="16"/>
      <c r="P327" s="16"/>
    </row>
    <row r="328" spans="12:16" x14ac:dyDescent="0.2">
      <c r="L328" s="16"/>
      <c r="M328" s="16"/>
      <c r="N328" s="16"/>
      <c r="O328" s="16"/>
      <c r="P328" s="16"/>
    </row>
    <row r="329" spans="12:16" x14ac:dyDescent="0.2">
      <c r="L329" s="16"/>
      <c r="M329" s="16"/>
      <c r="N329" s="16"/>
      <c r="O329" s="16"/>
      <c r="P329" s="16"/>
    </row>
    <row r="330" spans="12:16" x14ac:dyDescent="0.2">
      <c r="L330" s="16"/>
      <c r="M330" s="16"/>
      <c r="N330" s="16"/>
      <c r="O330" s="16"/>
      <c r="P330" s="16"/>
    </row>
    <row r="331" spans="12:16" x14ac:dyDescent="0.2">
      <c r="L331" s="16"/>
      <c r="M331" s="16"/>
      <c r="N331" s="16"/>
      <c r="O331" s="16"/>
      <c r="P331" s="16"/>
    </row>
    <row r="332" spans="12:16" x14ac:dyDescent="0.2">
      <c r="L332" s="16"/>
      <c r="M332" s="16"/>
      <c r="N332" s="16"/>
      <c r="O332" s="16"/>
      <c r="P332" s="16"/>
    </row>
    <row r="333" spans="12:16" x14ac:dyDescent="0.2">
      <c r="L333" s="16"/>
      <c r="M333" s="16"/>
      <c r="N333" s="16"/>
      <c r="O333" s="16"/>
      <c r="P333" s="16"/>
    </row>
    <row r="334" spans="12:16" x14ac:dyDescent="0.2">
      <c r="L334" s="16"/>
      <c r="M334" s="16"/>
      <c r="N334" s="16"/>
      <c r="O334" s="16"/>
      <c r="P334" s="16"/>
    </row>
    <row r="335" spans="12:16" x14ac:dyDescent="0.2">
      <c r="L335" s="16"/>
      <c r="M335" s="16"/>
      <c r="N335" s="16"/>
      <c r="O335" s="16"/>
      <c r="P335" s="16"/>
    </row>
    <row r="336" spans="12:16" x14ac:dyDescent="0.2">
      <c r="L336" s="16"/>
      <c r="M336" s="16"/>
      <c r="N336" s="16"/>
      <c r="O336" s="16"/>
      <c r="P336" s="16"/>
    </row>
    <row r="337" spans="12:16" x14ac:dyDescent="0.2">
      <c r="L337" s="16"/>
      <c r="M337" s="16"/>
      <c r="N337" s="16"/>
      <c r="O337" s="16"/>
      <c r="P337" s="16"/>
    </row>
    <row r="338" spans="12:16" x14ac:dyDescent="0.2">
      <c r="L338" s="16"/>
      <c r="M338" s="16"/>
      <c r="N338" s="16"/>
      <c r="O338" s="16"/>
      <c r="P338" s="16"/>
    </row>
    <row r="339" spans="12:16" x14ac:dyDescent="0.2">
      <c r="L339" s="16"/>
      <c r="M339" s="16"/>
      <c r="N339" s="16"/>
      <c r="O339" s="16"/>
      <c r="P339" s="16"/>
    </row>
    <row r="340" spans="12:16" x14ac:dyDescent="0.2">
      <c r="L340" s="16"/>
      <c r="M340" s="16"/>
      <c r="N340" s="16"/>
      <c r="O340" s="16"/>
      <c r="P340" s="16"/>
    </row>
    <row r="341" spans="12:16" x14ac:dyDescent="0.2">
      <c r="L341" s="16"/>
      <c r="M341" s="16"/>
      <c r="N341" s="16"/>
      <c r="O341" s="16"/>
      <c r="P341" s="16"/>
    </row>
    <row r="342" spans="12:16" x14ac:dyDescent="0.2">
      <c r="L342" s="16"/>
      <c r="M342" s="16"/>
      <c r="N342" s="16"/>
      <c r="O342" s="16"/>
      <c r="P342" s="16"/>
    </row>
    <row r="343" spans="12:16" x14ac:dyDescent="0.2">
      <c r="L343" s="16"/>
      <c r="M343" s="16"/>
      <c r="N343" s="16"/>
      <c r="O343" s="16"/>
      <c r="P343" s="16"/>
    </row>
    <row r="344" spans="12:16" x14ac:dyDescent="0.2">
      <c r="L344" s="16"/>
      <c r="M344" s="16"/>
      <c r="N344" s="16"/>
      <c r="O344" s="16"/>
      <c r="P344" s="16"/>
    </row>
    <row r="345" spans="12:16" x14ac:dyDescent="0.2">
      <c r="L345" s="16"/>
      <c r="M345" s="16"/>
      <c r="N345" s="16"/>
      <c r="O345" s="16"/>
      <c r="P345" s="16"/>
    </row>
    <row r="346" spans="12:16" x14ac:dyDescent="0.2">
      <c r="L346" s="16"/>
      <c r="M346" s="16"/>
      <c r="N346" s="16"/>
      <c r="O346" s="16"/>
      <c r="P346" s="16"/>
    </row>
    <row r="347" spans="12:16" x14ac:dyDescent="0.2">
      <c r="L347" s="16"/>
      <c r="M347" s="16"/>
      <c r="N347" s="16"/>
      <c r="O347" s="16"/>
      <c r="P347" s="16"/>
    </row>
    <row r="348" spans="12:16" x14ac:dyDescent="0.2">
      <c r="L348" s="16"/>
      <c r="M348" s="16"/>
      <c r="N348" s="16"/>
      <c r="O348" s="16"/>
      <c r="P348" s="16"/>
    </row>
    <row r="349" spans="12:16" x14ac:dyDescent="0.2">
      <c r="L349" s="16"/>
      <c r="M349" s="16"/>
      <c r="N349" s="16"/>
      <c r="O349" s="16"/>
      <c r="P349" s="16"/>
    </row>
    <row r="350" spans="12:16" x14ac:dyDescent="0.2">
      <c r="L350" s="16"/>
      <c r="M350" s="16"/>
      <c r="N350" s="16"/>
      <c r="O350" s="16"/>
      <c r="P350" s="16"/>
    </row>
    <row r="351" spans="12:16" x14ac:dyDescent="0.2">
      <c r="L351" s="16"/>
      <c r="M351" s="16"/>
      <c r="N351" s="16"/>
      <c r="O351" s="16"/>
      <c r="P351" s="16"/>
    </row>
    <row r="352" spans="12:16" x14ac:dyDescent="0.2">
      <c r="L352" s="16"/>
      <c r="M352" s="16"/>
      <c r="N352" s="16"/>
      <c r="O352" s="16"/>
      <c r="P352" s="16"/>
    </row>
    <row r="353" spans="12:16" x14ac:dyDescent="0.2">
      <c r="L353" s="16"/>
      <c r="M353" s="16"/>
      <c r="N353" s="16"/>
      <c r="O353" s="16"/>
      <c r="P353" s="16"/>
    </row>
    <row r="354" spans="12:16" x14ac:dyDescent="0.2">
      <c r="L354" s="16"/>
      <c r="M354" s="16"/>
      <c r="N354" s="16"/>
      <c r="O354" s="16"/>
      <c r="P354" s="16"/>
    </row>
    <row r="355" spans="12:16" x14ac:dyDescent="0.2">
      <c r="L355" s="16"/>
      <c r="M355" s="16"/>
      <c r="N355" s="16"/>
      <c r="O355" s="16"/>
      <c r="P355" s="16"/>
    </row>
    <row r="356" spans="12:16" x14ac:dyDescent="0.2">
      <c r="L356" s="16"/>
      <c r="M356" s="16"/>
      <c r="N356" s="16"/>
      <c r="O356" s="16"/>
      <c r="P356" s="16"/>
    </row>
    <row r="357" spans="12:16" x14ac:dyDescent="0.2">
      <c r="L357" s="16"/>
      <c r="M357" s="16"/>
      <c r="N357" s="16"/>
      <c r="O357" s="16"/>
      <c r="P357" s="16"/>
    </row>
    <row r="358" spans="12:16" x14ac:dyDescent="0.2">
      <c r="L358" s="16"/>
      <c r="M358" s="16"/>
      <c r="N358" s="16"/>
      <c r="O358" s="16"/>
      <c r="P358" s="16"/>
    </row>
    <row r="359" spans="12:16" x14ac:dyDescent="0.2">
      <c r="L359" s="16"/>
      <c r="M359" s="16"/>
      <c r="N359" s="16"/>
      <c r="O359" s="16"/>
      <c r="P359" s="16"/>
    </row>
    <row r="360" spans="12:16" x14ac:dyDescent="0.2">
      <c r="L360" s="16"/>
      <c r="M360" s="16"/>
      <c r="N360" s="16"/>
      <c r="O360" s="16"/>
      <c r="P360" s="16"/>
    </row>
    <row r="361" spans="12:16" x14ac:dyDescent="0.2">
      <c r="L361" s="16"/>
      <c r="M361" s="16"/>
      <c r="N361" s="16"/>
      <c r="O361" s="16"/>
      <c r="P361" s="16"/>
    </row>
    <row r="362" spans="12:16" x14ac:dyDescent="0.2">
      <c r="L362" s="16"/>
      <c r="M362" s="16"/>
      <c r="N362" s="16"/>
      <c r="O362" s="16"/>
      <c r="P362" s="16"/>
    </row>
    <row r="363" spans="12:16" x14ac:dyDescent="0.2">
      <c r="L363" s="16"/>
      <c r="M363" s="16"/>
      <c r="N363" s="16"/>
      <c r="O363" s="16"/>
      <c r="P363" s="16"/>
    </row>
    <row r="364" spans="12:16" x14ac:dyDescent="0.2">
      <c r="L364" s="16"/>
      <c r="M364" s="16"/>
      <c r="N364" s="16"/>
      <c r="O364" s="16"/>
      <c r="P364" s="16"/>
    </row>
    <row r="365" spans="12:16" x14ac:dyDescent="0.2">
      <c r="L365" s="16"/>
      <c r="M365" s="16"/>
      <c r="N365" s="16"/>
      <c r="O365" s="16"/>
      <c r="P365" s="16"/>
    </row>
    <row r="366" spans="12:16" x14ac:dyDescent="0.2">
      <c r="L366" s="16"/>
      <c r="M366" s="16"/>
      <c r="N366" s="16"/>
      <c r="O366" s="16"/>
      <c r="P366" s="16"/>
    </row>
    <row r="367" spans="12:16" x14ac:dyDescent="0.2">
      <c r="L367" s="16"/>
      <c r="M367" s="16"/>
      <c r="N367" s="16"/>
      <c r="O367" s="16"/>
      <c r="P367" s="16"/>
    </row>
    <row r="368" spans="12:16" x14ac:dyDescent="0.2">
      <c r="L368" s="16"/>
      <c r="M368" s="16"/>
      <c r="N368" s="16"/>
      <c r="O368" s="16"/>
      <c r="P368" s="16"/>
    </row>
    <row r="369" spans="12:16" x14ac:dyDescent="0.2">
      <c r="L369" s="16"/>
      <c r="M369" s="16"/>
      <c r="N369" s="16"/>
      <c r="O369" s="16"/>
      <c r="P369" s="16"/>
    </row>
    <row r="370" spans="12:16" x14ac:dyDescent="0.2">
      <c r="L370" s="16"/>
      <c r="M370" s="16"/>
      <c r="N370" s="16"/>
      <c r="O370" s="16"/>
      <c r="P370" s="16"/>
    </row>
    <row r="371" spans="12:16" x14ac:dyDescent="0.2">
      <c r="L371" s="16"/>
      <c r="M371" s="16"/>
      <c r="N371" s="16"/>
      <c r="O371" s="16"/>
      <c r="P371" s="16"/>
    </row>
    <row r="372" spans="12:16" x14ac:dyDescent="0.2">
      <c r="L372" s="16"/>
      <c r="M372" s="16"/>
      <c r="N372" s="16"/>
      <c r="O372" s="16"/>
      <c r="P372" s="16"/>
    </row>
    <row r="373" spans="12:16" x14ac:dyDescent="0.2">
      <c r="L373" s="16"/>
      <c r="M373" s="16"/>
      <c r="N373" s="16"/>
      <c r="O373" s="16"/>
      <c r="P373" s="16"/>
    </row>
    <row r="374" spans="12:16" x14ac:dyDescent="0.2">
      <c r="L374" s="16"/>
      <c r="M374" s="16"/>
      <c r="N374" s="16"/>
      <c r="O374" s="16"/>
      <c r="P374" s="16"/>
    </row>
    <row r="375" spans="12:16" x14ac:dyDescent="0.2">
      <c r="L375" s="16"/>
      <c r="M375" s="16"/>
      <c r="N375" s="16"/>
      <c r="O375" s="16"/>
      <c r="P375" s="16"/>
    </row>
    <row r="376" spans="12:16" x14ac:dyDescent="0.2">
      <c r="L376" s="16"/>
      <c r="M376" s="16"/>
      <c r="N376" s="16"/>
      <c r="O376" s="16"/>
      <c r="P376" s="16"/>
    </row>
    <row r="377" spans="12:16" x14ac:dyDescent="0.2">
      <c r="L377" s="16"/>
      <c r="M377" s="16"/>
      <c r="N377" s="16"/>
      <c r="O377" s="16"/>
      <c r="P377" s="16"/>
    </row>
    <row r="378" spans="12:16" x14ac:dyDescent="0.2">
      <c r="L378" s="16"/>
      <c r="M378" s="16"/>
      <c r="N378" s="16"/>
      <c r="O378" s="16"/>
      <c r="P378" s="16"/>
    </row>
    <row r="379" spans="12:16" x14ac:dyDescent="0.2">
      <c r="L379" s="16"/>
      <c r="M379" s="16"/>
      <c r="N379" s="16"/>
      <c r="O379" s="16"/>
      <c r="P379" s="16"/>
    </row>
    <row r="380" spans="12:16" x14ac:dyDescent="0.2">
      <c r="L380" s="16"/>
      <c r="M380" s="16"/>
      <c r="N380" s="16"/>
      <c r="O380" s="16"/>
      <c r="P380" s="16"/>
    </row>
    <row r="381" spans="12:16" x14ac:dyDescent="0.2">
      <c r="L381" s="16"/>
      <c r="M381" s="16"/>
      <c r="N381" s="16"/>
      <c r="O381" s="16"/>
      <c r="P381" s="16"/>
    </row>
    <row r="382" spans="12:16" x14ac:dyDescent="0.2">
      <c r="L382" s="16"/>
      <c r="M382" s="16"/>
      <c r="N382" s="16"/>
      <c r="O382" s="16"/>
      <c r="P382" s="16"/>
    </row>
    <row r="383" spans="12:16" x14ac:dyDescent="0.2">
      <c r="L383" s="16"/>
      <c r="M383" s="16"/>
      <c r="N383" s="16"/>
      <c r="O383" s="16"/>
      <c r="P383" s="16"/>
    </row>
    <row r="384" spans="12:16" x14ac:dyDescent="0.2">
      <c r="L384" s="16"/>
      <c r="M384" s="16"/>
      <c r="N384" s="16"/>
      <c r="O384" s="16"/>
      <c r="P384" s="16"/>
    </row>
    <row r="385" spans="12:16" x14ac:dyDescent="0.2">
      <c r="L385" s="16"/>
      <c r="M385" s="16"/>
      <c r="N385" s="16"/>
      <c r="O385" s="16"/>
      <c r="P385" s="16"/>
    </row>
    <row r="386" spans="12:16" x14ac:dyDescent="0.2">
      <c r="L386" s="16"/>
      <c r="M386" s="16"/>
      <c r="N386" s="16"/>
      <c r="O386" s="16"/>
      <c r="P386" s="16"/>
    </row>
    <row r="387" spans="12:16" x14ac:dyDescent="0.2">
      <c r="L387" s="16"/>
      <c r="M387" s="16"/>
      <c r="N387" s="16"/>
      <c r="O387" s="16"/>
      <c r="P387" s="16"/>
    </row>
    <row r="388" spans="12:16" x14ac:dyDescent="0.2">
      <c r="L388" s="16"/>
      <c r="M388" s="16"/>
      <c r="N388" s="16"/>
      <c r="O388" s="16"/>
      <c r="P388" s="16"/>
    </row>
    <row r="389" spans="12:16" x14ac:dyDescent="0.2">
      <c r="L389" s="16"/>
      <c r="M389" s="16"/>
      <c r="N389" s="16"/>
      <c r="O389" s="16"/>
      <c r="P389" s="16"/>
    </row>
    <row r="390" spans="12:16" x14ac:dyDescent="0.2">
      <c r="L390" s="16"/>
      <c r="M390" s="16"/>
      <c r="N390" s="16"/>
      <c r="O390" s="16"/>
      <c r="P390" s="16"/>
    </row>
    <row r="391" spans="12:16" x14ac:dyDescent="0.2">
      <c r="L391" s="16"/>
      <c r="M391" s="16"/>
      <c r="N391" s="16"/>
      <c r="O391" s="16"/>
      <c r="P391" s="16"/>
    </row>
    <row r="392" spans="12:16" x14ac:dyDescent="0.2">
      <c r="L392" s="16"/>
      <c r="M392" s="16"/>
      <c r="N392" s="16"/>
      <c r="O392" s="16"/>
      <c r="P392" s="16"/>
    </row>
    <row r="393" spans="12:16" x14ac:dyDescent="0.2">
      <c r="L393" s="16"/>
      <c r="M393" s="16"/>
      <c r="N393" s="16"/>
      <c r="O393" s="16"/>
      <c r="P393" s="16"/>
    </row>
    <row r="394" spans="12:16" x14ac:dyDescent="0.2">
      <c r="L394" s="16"/>
      <c r="M394" s="16"/>
      <c r="N394" s="16"/>
      <c r="O394" s="16"/>
      <c r="P394" s="16"/>
    </row>
    <row r="395" spans="12:16" x14ac:dyDescent="0.2">
      <c r="L395" s="16"/>
      <c r="M395" s="16"/>
      <c r="N395" s="16"/>
      <c r="O395" s="16"/>
      <c r="P395" s="16"/>
    </row>
    <row r="396" spans="12:16" x14ac:dyDescent="0.2">
      <c r="L396" s="16"/>
      <c r="M396" s="16"/>
      <c r="N396" s="16"/>
      <c r="O396" s="16"/>
      <c r="P396" s="16"/>
    </row>
    <row r="397" spans="12:16" x14ac:dyDescent="0.2">
      <c r="L397" s="16"/>
      <c r="M397" s="16"/>
      <c r="N397" s="16"/>
      <c r="O397" s="16"/>
      <c r="P397" s="16"/>
    </row>
    <row r="398" spans="12:16" x14ac:dyDescent="0.2">
      <c r="L398" s="16"/>
      <c r="M398" s="16"/>
      <c r="N398" s="16"/>
      <c r="O398" s="16"/>
      <c r="P398" s="16"/>
    </row>
    <row r="399" spans="12:16" x14ac:dyDescent="0.2">
      <c r="L399" s="16"/>
      <c r="M399" s="16"/>
      <c r="N399" s="16"/>
      <c r="O399" s="16"/>
      <c r="P399" s="16"/>
    </row>
    <row r="400" spans="12:16" x14ac:dyDescent="0.2">
      <c r="L400" s="16"/>
      <c r="M400" s="16"/>
      <c r="N400" s="16"/>
      <c r="O400" s="16"/>
      <c r="P400" s="16"/>
    </row>
    <row r="401" spans="12:16" x14ac:dyDescent="0.2">
      <c r="L401" s="16"/>
      <c r="M401" s="16"/>
      <c r="N401" s="16"/>
      <c r="O401" s="16"/>
      <c r="P401" s="16"/>
    </row>
    <row r="402" spans="12:16" x14ac:dyDescent="0.2">
      <c r="L402" s="16"/>
      <c r="M402" s="16"/>
      <c r="N402" s="16"/>
      <c r="O402" s="16"/>
      <c r="P402" s="16"/>
    </row>
    <row r="403" spans="12:16" x14ac:dyDescent="0.2">
      <c r="L403" s="16"/>
      <c r="M403" s="16"/>
      <c r="N403" s="16"/>
      <c r="O403" s="16"/>
      <c r="P403" s="16"/>
    </row>
    <row r="404" spans="12:16" x14ac:dyDescent="0.2">
      <c r="L404" s="16"/>
      <c r="M404" s="16"/>
      <c r="N404" s="16"/>
      <c r="O404" s="16"/>
      <c r="P404" s="16"/>
    </row>
    <row r="405" spans="12:16" x14ac:dyDescent="0.2">
      <c r="L405" s="16"/>
      <c r="M405" s="16"/>
      <c r="N405" s="16"/>
      <c r="O405" s="16"/>
      <c r="P405" s="16"/>
    </row>
    <row r="406" spans="12:16" x14ac:dyDescent="0.2">
      <c r="L406" s="16"/>
      <c r="M406" s="16"/>
      <c r="N406" s="16"/>
      <c r="O406" s="16"/>
      <c r="P406" s="16"/>
    </row>
    <row r="407" spans="12:16" x14ac:dyDescent="0.2">
      <c r="L407" s="16"/>
      <c r="M407" s="16"/>
      <c r="N407" s="16"/>
      <c r="O407" s="16"/>
      <c r="P407" s="16"/>
    </row>
    <row r="408" spans="12:16" x14ac:dyDescent="0.2">
      <c r="L408" s="16"/>
      <c r="M408" s="16"/>
      <c r="N408" s="16"/>
      <c r="O408" s="16"/>
      <c r="P408" s="16"/>
    </row>
    <row r="409" spans="12:16" x14ac:dyDescent="0.2">
      <c r="L409" s="16"/>
      <c r="M409" s="16"/>
      <c r="N409" s="16"/>
      <c r="O409" s="16"/>
      <c r="P409" s="16"/>
    </row>
    <row r="410" spans="12:16" x14ac:dyDescent="0.2">
      <c r="L410" s="16"/>
      <c r="M410" s="16"/>
      <c r="N410" s="16"/>
      <c r="O410" s="16"/>
      <c r="P410" s="16"/>
    </row>
    <row r="411" spans="12:16" x14ac:dyDescent="0.2">
      <c r="L411" s="16"/>
      <c r="M411" s="16"/>
      <c r="N411" s="16"/>
      <c r="O411" s="16"/>
      <c r="P411" s="16"/>
    </row>
    <row r="412" spans="12:16" x14ac:dyDescent="0.2">
      <c r="L412" s="16"/>
      <c r="M412" s="16"/>
      <c r="N412" s="16"/>
      <c r="O412" s="16"/>
      <c r="P412" s="16"/>
    </row>
    <row r="413" spans="12:16" x14ac:dyDescent="0.2">
      <c r="L413" s="16"/>
      <c r="M413" s="16"/>
      <c r="N413" s="16"/>
      <c r="O413" s="16"/>
      <c r="P413" s="16"/>
    </row>
    <row r="414" spans="12:16" x14ac:dyDescent="0.2">
      <c r="L414" s="16"/>
      <c r="M414" s="16"/>
      <c r="N414" s="16"/>
      <c r="O414" s="16"/>
      <c r="P414" s="16"/>
    </row>
    <row r="415" spans="12:16" x14ac:dyDescent="0.2">
      <c r="L415" s="16"/>
      <c r="M415" s="16"/>
      <c r="N415" s="16"/>
      <c r="O415" s="16"/>
      <c r="P415" s="16"/>
    </row>
    <row r="416" spans="12:16" x14ac:dyDescent="0.2">
      <c r="L416" s="16"/>
      <c r="M416" s="16"/>
      <c r="N416" s="16"/>
      <c r="O416" s="16"/>
      <c r="P416" s="16"/>
    </row>
    <row r="417" spans="12:16" x14ac:dyDescent="0.2">
      <c r="L417" s="16"/>
      <c r="M417" s="16"/>
      <c r="N417" s="16"/>
      <c r="O417" s="16"/>
      <c r="P417" s="16"/>
    </row>
    <row r="418" spans="12:16" x14ac:dyDescent="0.2">
      <c r="L418" s="16"/>
      <c r="M418" s="16"/>
      <c r="N418" s="16"/>
      <c r="O418" s="16"/>
      <c r="P418" s="16"/>
    </row>
    <row r="419" spans="12:16" x14ac:dyDescent="0.2">
      <c r="L419" s="16"/>
      <c r="M419" s="16"/>
      <c r="N419" s="16"/>
      <c r="O419" s="16"/>
      <c r="P419" s="16"/>
    </row>
    <row r="420" spans="12:16" x14ac:dyDescent="0.2">
      <c r="L420" s="16"/>
      <c r="M420" s="16"/>
      <c r="N420" s="16"/>
      <c r="O420" s="16"/>
      <c r="P420" s="16"/>
    </row>
    <row r="421" spans="12:16" x14ac:dyDescent="0.2">
      <c r="L421" s="16"/>
      <c r="M421" s="16"/>
      <c r="N421" s="16"/>
      <c r="O421" s="16"/>
      <c r="P421" s="16"/>
    </row>
    <row r="422" spans="12:16" x14ac:dyDescent="0.2">
      <c r="L422" s="16"/>
      <c r="M422" s="16"/>
      <c r="N422" s="16"/>
      <c r="O422" s="16"/>
      <c r="P422" s="16"/>
    </row>
    <row r="423" spans="12:16" x14ac:dyDescent="0.2">
      <c r="L423" s="16"/>
      <c r="M423" s="16"/>
      <c r="N423" s="16"/>
      <c r="O423" s="16"/>
      <c r="P423" s="16"/>
    </row>
    <row r="424" spans="12:16" x14ac:dyDescent="0.2">
      <c r="L424" s="16"/>
      <c r="M424" s="16"/>
      <c r="N424" s="16"/>
      <c r="O424" s="16"/>
      <c r="P424" s="16"/>
    </row>
    <row r="425" spans="12:16" x14ac:dyDescent="0.2">
      <c r="L425" s="16"/>
      <c r="M425" s="16"/>
      <c r="N425" s="16"/>
      <c r="O425" s="16"/>
      <c r="P425" s="16"/>
    </row>
    <row r="426" spans="12:16" x14ac:dyDescent="0.2">
      <c r="L426" s="16"/>
      <c r="M426" s="16"/>
      <c r="N426" s="16"/>
      <c r="O426" s="16"/>
      <c r="P426" s="16"/>
    </row>
    <row r="427" spans="12:16" x14ac:dyDescent="0.2">
      <c r="L427" s="16"/>
      <c r="M427" s="16"/>
      <c r="N427" s="16"/>
      <c r="O427" s="16"/>
      <c r="P427" s="16"/>
    </row>
    <row r="428" spans="12:16" x14ac:dyDescent="0.2">
      <c r="L428" s="16"/>
      <c r="M428" s="16"/>
      <c r="N428" s="16"/>
      <c r="O428" s="16"/>
      <c r="P428" s="16"/>
    </row>
    <row r="429" spans="12:16" x14ac:dyDescent="0.2">
      <c r="L429" s="16"/>
      <c r="M429" s="16"/>
      <c r="N429" s="16"/>
      <c r="O429" s="16"/>
      <c r="P429" s="16"/>
    </row>
    <row r="430" spans="12:16" x14ac:dyDescent="0.2">
      <c r="L430" s="16"/>
      <c r="M430" s="16"/>
      <c r="N430" s="16"/>
      <c r="O430" s="16"/>
      <c r="P430" s="16"/>
    </row>
    <row r="431" spans="12:16" x14ac:dyDescent="0.2">
      <c r="L431" s="16"/>
      <c r="M431" s="16"/>
      <c r="N431" s="16"/>
      <c r="O431" s="16"/>
      <c r="P431" s="16"/>
    </row>
    <row r="432" spans="12:16" x14ac:dyDescent="0.2">
      <c r="L432" s="16"/>
      <c r="M432" s="16"/>
      <c r="N432" s="16"/>
      <c r="O432" s="16"/>
      <c r="P432" s="16"/>
    </row>
    <row r="433" spans="12:16" x14ac:dyDescent="0.2">
      <c r="L433" s="16"/>
      <c r="M433" s="16"/>
      <c r="N433" s="16"/>
      <c r="O433" s="16"/>
      <c r="P433" s="16"/>
    </row>
    <row r="434" spans="12:16" x14ac:dyDescent="0.2">
      <c r="L434" s="16"/>
      <c r="M434" s="16"/>
      <c r="N434" s="16"/>
      <c r="O434" s="16"/>
      <c r="P434" s="16"/>
    </row>
    <row r="435" spans="12:16" x14ac:dyDescent="0.2">
      <c r="L435" s="16"/>
      <c r="M435" s="16"/>
      <c r="N435" s="16"/>
      <c r="O435" s="16"/>
      <c r="P435" s="16"/>
    </row>
    <row r="436" spans="12:16" x14ac:dyDescent="0.2">
      <c r="L436" s="16"/>
      <c r="M436" s="16"/>
      <c r="N436" s="16"/>
      <c r="O436" s="16"/>
      <c r="P436" s="16"/>
    </row>
    <row r="437" spans="12:16" x14ac:dyDescent="0.2">
      <c r="L437" s="16"/>
      <c r="M437" s="16"/>
      <c r="N437" s="16"/>
      <c r="O437" s="16"/>
      <c r="P437" s="16"/>
    </row>
    <row r="438" spans="12:16" x14ac:dyDescent="0.2">
      <c r="L438" s="16"/>
      <c r="M438" s="16"/>
      <c r="N438" s="16"/>
      <c r="O438" s="16"/>
      <c r="P438" s="16"/>
    </row>
    <row r="439" spans="12:16" x14ac:dyDescent="0.2">
      <c r="L439" s="16"/>
      <c r="M439" s="16"/>
      <c r="N439" s="16"/>
      <c r="O439" s="16"/>
      <c r="P439" s="16"/>
    </row>
    <row r="440" spans="12:16" x14ac:dyDescent="0.2">
      <c r="L440" s="16"/>
      <c r="M440" s="16"/>
      <c r="N440" s="16"/>
      <c r="O440" s="16"/>
      <c r="P440" s="16"/>
    </row>
    <row r="441" spans="12:16" x14ac:dyDescent="0.2">
      <c r="L441" s="16"/>
      <c r="M441" s="16"/>
      <c r="N441" s="16"/>
      <c r="O441" s="16"/>
      <c r="P441" s="16"/>
    </row>
    <row r="442" spans="12:16" x14ac:dyDescent="0.2">
      <c r="L442" s="16"/>
      <c r="M442" s="16"/>
      <c r="N442" s="16"/>
      <c r="O442" s="16"/>
      <c r="P442" s="16"/>
    </row>
    <row r="443" spans="12:16" x14ac:dyDescent="0.2">
      <c r="L443" s="16"/>
      <c r="M443" s="16"/>
      <c r="N443" s="16"/>
      <c r="O443" s="16"/>
      <c r="P443" s="16"/>
    </row>
    <row r="444" spans="12:16" x14ac:dyDescent="0.2">
      <c r="L444" s="16"/>
      <c r="M444" s="16"/>
      <c r="N444" s="16"/>
      <c r="O444" s="16"/>
      <c r="P444" s="16"/>
    </row>
    <row r="445" spans="12:16" x14ac:dyDescent="0.2">
      <c r="L445" s="16"/>
      <c r="M445" s="16"/>
      <c r="N445" s="16"/>
      <c r="O445" s="16"/>
      <c r="P445" s="16"/>
    </row>
    <row r="446" spans="12:16" x14ac:dyDescent="0.2">
      <c r="L446" s="16"/>
      <c r="M446" s="16"/>
      <c r="N446" s="16"/>
      <c r="O446" s="16"/>
      <c r="P446" s="16"/>
    </row>
    <row r="447" spans="12:16" x14ac:dyDescent="0.2">
      <c r="L447" s="16"/>
      <c r="M447" s="16"/>
      <c r="N447" s="16"/>
      <c r="O447" s="16"/>
      <c r="P447" s="16"/>
    </row>
    <row r="448" spans="12:16" x14ac:dyDescent="0.2">
      <c r="L448" s="16"/>
      <c r="M448" s="16"/>
      <c r="N448" s="16"/>
      <c r="O448" s="16"/>
      <c r="P448" s="16"/>
    </row>
    <row r="449" spans="12:16" x14ac:dyDescent="0.2">
      <c r="L449" s="16"/>
      <c r="M449" s="16"/>
      <c r="N449" s="16"/>
      <c r="O449" s="16"/>
      <c r="P449" s="16"/>
    </row>
    <row r="450" spans="12:16" x14ac:dyDescent="0.2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B2:AN450"/>
  <sheetViews>
    <sheetView zoomScale="90" zoomScaleNormal="90" workbookViewId="0">
      <selection activeCell="AA22" sqref="AA22"/>
    </sheetView>
  </sheetViews>
  <sheetFormatPr defaultRowHeight="12.75" x14ac:dyDescent="0.2"/>
  <cols>
    <col min="1" max="1" width="5.42578125" style="5" customWidth="1"/>
    <col min="2" max="2" width="8.85546875" style="6" hidden="1" customWidth="1"/>
    <col min="3" max="3" width="8.85546875" style="6" customWidth="1"/>
    <col min="4" max="4" width="22.42578125" style="5" customWidth="1"/>
    <col min="5" max="5" width="9.85546875" style="7" customWidth="1"/>
    <col min="6" max="6" width="13" style="46" customWidth="1"/>
    <col min="7" max="7" width="11.7109375" style="46" customWidth="1"/>
    <col min="8" max="20" width="8.85546875" style="7" hidden="1" customWidth="1"/>
    <col min="21" max="21" width="3.85546875" style="5" customWidth="1"/>
    <col min="22" max="22" width="19" style="5" customWidth="1"/>
    <col min="23" max="23" width="11" style="5" customWidth="1"/>
    <col min="24" max="25" width="9.85546875" style="5" customWidth="1"/>
    <col min="26" max="26" width="11.7109375" style="5" customWidth="1"/>
    <col min="27" max="27" width="4.140625" style="5" customWidth="1"/>
    <col min="28" max="47" width="6.42578125" style="5" customWidth="1"/>
    <col min="48" max="207" width="6.5703125" style="5" customWidth="1"/>
    <col min="208" max="16384" width="9.140625" style="5"/>
  </cols>
  <sheetData>
    <row r="2" spans="2:40" ht="33.75" x14ac:dyDescent="0.5">
      <c r="B2" s="4"/>
      <c r="C2" s="132" t="s">
        <v>57</v>
      </c>
      <c r="D2" s="4"/>
      <c r="V2" s="84" t="s">
        <v>44</v>
      </c>
      <c r="W2" s="84" t="s">
        <v>93</v>
      </c>
      <c r="X2" s="83"/>
    </row>
    <row r="3" spans="2:40" ht="16.5" x14ac:dyDescent="0.25">
      <c r="B3" s="75"/>
      <c r="C3" s="75" t="s">
        <v>50</v>
      </c>
      <c r="D3" s="75"/>
      <c r="E3" s="74"/>
      <c r="V3" s="85" t="s">
        <v>45</v>
      </c>
      <c r="W3" s="84" t="s">
        <v>49</v>
      </c>
      <c r="X3" s="82"/>
    </row>
    <row r="4" spans="2:40" x14ac:dyDescent="0.2">
      <c r="B4" s="73"/>
      <c r="C4" s="73"/>
      <c r="D4" s="73"/>
    </row>
    <row r="5" spans="2:40" s="8" customFormat="1" ht="21.75" customHeight="1" x14ac:dyDescent="0.2">
      <c r="B5" s="76"/>
      <c r="C5" s="76" t="s">
        <v>39</v>
      </c>
      <c r="D5" s="76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6" t="s">
        <v>38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 x14ac:dyDescent="0.2">
      <c r="B6" s="28" t="s">
        <v>51</v>
      </c>
      <c r="C6" s="28" t="s">
        <v>0</v>
      </c>
      <c r="D6" s="29" t="s">
        <v>19</v>
      </c>
      <c r="E6" s="47" t="s">
        <v>26</v>
      </c>
      <c r="F6" s="47" t="s">
        <v>27</v>
      </c>
      <c r="G6" s="47" t="s">
        <v>23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  <c r="M6" s="45" t="s">
        <v>13</v>
      </c>
      <c r="N6" s="45" t="s">
        <v>18</v>
      </c>
      <c r="O6" s="45" t="s">
        <v>75</v>
      </c>
      <c r="P6" s="45" t="s">
        <v>2</v>
      </c>
      <c r="Q6" s="45" t="s">
        <v>5</v>
      </c>
      <c r="R6" s="45"/>
      <c r="S6" s="45"/>
      <c r="T6" s="45"/>
      <c r="U6" s="5"/>
      <c r="V6" s="38" t="s">
        <v>29</v>
      </c>
      <c r="W6" s="39" t="s">
        <v>30</v>
      </c>
      <c r="X6" s="39" t="s">
        <v>26</v>
      </c>
      <c r="Y6" s="39" t="s">
        <v>27</v>
      </c>
      <c r="Z6" s="40" t="s">
        <v>29</v>
      </c>
      <c r="AA6" s="14"/>
      <c r="AB6" s="14"/>
      <c r="AC6" s="14"/>
    </row>
    <row r="7" spans="2:40" s="15" customFormat="1" ht="15.75" customHeight="1" x14ac:dyDescent="0.2">
      <c r="B7" s="89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10</v>
      </c>
      <c r="C7" s="89">
        <v>1</v>
      </c>
      <c r="D7" s="30" t="s">
        <v>14</v>
      </c>
      <c r="E7" s="88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88">
        <v>20</v>
      </c>
      <c r="G7" s="49">
        <f>E29</f>
        <v>20</v>
      </c>
      <c r="H7" s="48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2200</v>
      </c>
      <c r="I7" s="57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88</v>
      </c>
      <c r="J7" s="57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9.98</v>
      </c>
      <c r="K7" s="57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12.8</v>
      </c>
      <c r="L7" s="57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8.1</v>
      </c>
      <c r="M7" s="57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7.13</v>
      </c>
      <c r="N7" s="57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62</v>
      </c>
      <c r="O7" s="57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69.900000000000006</v>
      </c>
      <c r="P7" s="57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7.8600000000000003E-2</v>
      </c>
      <c r="Q7" s="57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1.23</v>
      </c>
      <c r="R7" s="57"/>
      <c r="S7" s="57"/>
      <c r="T7" s="57"/>
      <c r="U7" s="5"/>
      <c r="V7" s="31" t="s">
        <v>32</v>
      </c>
      <c r="W7" s="32" t="s">
        <v>23</v>
      </c>
      <c r="X7" s="106">
        <v>86</v>
      </c>
      <c r="Y7" s="107" t="s">
        <v>36</v>
      </c>
      <c r="Z7" s="33">
        <f>G45</f>
        <v>86.322666278742815</v>
      </c>
      <c r="AA7" s="14"/>
      <c r="AB7" s="14"/>
      <c r="AC7" s="14"/>
    </row>
    <row r="8" spans="2:40" s="15" customFormat="1" ht="15.75" customHeight="1" x14ac:dyDescent="0.2">
      <c r="B8" s="89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7</v>
      </c>
      <c r="C8" s="89">
        <v>2</v>
      </c>
      <c r="D8" s="30" t="s">
        <v>70</v>
      </c>
      <c r="E8" s="88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10</v>
      </c>
      <c r="F8" s="88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50</v>
      </c>
      <c r="G8" s="49">
        <f t="shared" ref="G8:G21" si="0">E30</f>
        <v>10</v>
      </c>
      <c r="H8" s="48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3200</v>
      </c>
      <c r="I8" s="57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86.8</v>
      </c>
      <c r="J8" s="57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2.15</v>
      </c>
      <c r="K8" s="57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10.8</v>
      </c>
      <c r="L8" s="57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4.28</v>
      </c>
      <c r="M8" s="57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3.53</v>
      </c>
      <c r="N8" s="57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80.2</v>
      </c>
      <c r="O8" s="57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80.8</v>
      </c>
      <c r="P8" s="57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0.23400000000000001</v>
      </c>
      <c r="Q8" s="57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0.41399999999999998</v>
      </c>
      <c r="R8" s="57"/>
      <c r="S8" s="57"/>
      <c r="T8" s="57"/>
      <c r="U8" s="5"/>
      <c r="V8" s="31" t="s">
        <v>10</v>
      </c>
      <c r="W8" s="32" t="s">
        <v>23</v>
      </c>
      <c r="X8" s="108" t="s">
        <v>36</v>
      </c>
      <c r="Y8" s="107">
        <v>12</v>
      </c>
      <c r="Z8" s="33">
        <f>H45</f>
        <v>7.6512265077628472</v>
      </c>
      <c r="AA8" s="14"/>
      <c r="AB8" s="14"/>
      <c r="AC8" s="14"/>
    </row>
    <row r="9" spans="2:40" s="15" customFormat="1" ht="15.75" customHeight="1" x14ac:dyDescent="0.2">
      <c r="B9" s="89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8</v>
      </c>
      <c r="C9" s="89">
        <v>3</v>
      </c>
      <c r="D9" s="30" t="s">
        <v>82</v>
      </c>
      <c r="E9" s="88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8">
        <v>20</v>
      </c>
      <c r="G9" s="49">
        <f t="shared" si="0"/>
        <v>20</v>
      </c>
      <c r="H9" s="48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1800</v>
      </c>
      <c r="I9" s="57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87.7</v>
      </c>
      <c r="J9" s="57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13.6</v>
      </c>
      <c r="K9" s="57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13</v>
      </c>
      <c r="L9" s="57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8.64</v>
      </c>
      <c r="M9" s="57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13.9</v>
      </c>
      <c r="N9" s="57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50.9</v>
      </c>
      <c r="O9" s="57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67.900000000000006</v>
      </c>
      <c r="P9" s="57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8.5599999999999996E-2</v>
      </c>
      <c r="Q9" s="57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1.39</v>
      </c>
      <c r="R9" s="57"/>
      <c r="S9" s="57"/>
      <c r="T9" s="57"/>
      <c r="U9" s="5"/>
      <c r="V9" s="31" t="s">
        <v>33</v>
      </c>
      <c r="W9" s="32" t="s">
        <v>23</v>
      </c>
      <c r="X9" s="106">
        <v>12</v>
      </c>
      <c r="Y9" s="109">
        <v>13</v>
      </c>
      <c r="Z9" s="34">
        <f>I45</f>
        <v>13</v>
      </c>
      <c r="AA9" s="14"/>
      <c r="AB9" s="14"/>
      <c r="AC9" s="14"/>
    </row>
    <row r="10" spans="2:40" s="15" customFormat="1" ht="15.75" customHeight="1" x14ac:dyDescent="0.2">
      <c r="B10" s="89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11</v>
      </c>
      <c r="C10" s="89">
        <v>4</v>
      </c>
      <c r="D10" s="30" t="s">
        <v>64</v>
      </c>
      <c r="E10" s="88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8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49">
        <f t="shared" si="0"/>
        <v>11.178794916978321</v>
      </c>
      <c r="H10" s="48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2000</v>
      </c>
      <c r="I10" s="57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79.8</v>
      </c>
      <c r="J10" s="57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2.4</v>
      </c>
      <c r="K10" s="57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1.87</v>
      </c>
      <c r="L10" s="57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0.32400000000000001</v>
      </c>
      <c r="M10" s="57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8.9</v>
      </c>
      <c r="N10" s="57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86.5</v>
      </c>
      <c r="O10" s="57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78.3</v>
      </c>
      <c r="P10" s="57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0.26</v>
      </c>
      <c r="Q10" s="57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0.16</v>
      </c>
      <c r="R10" s="57"/>
      <c r="S10" s="57"/>
      <c r="T10" s="57"/>
      <c r="U10" s="5"/>
      <c r="V10" s="31" t="s">
        <v>34</v>
      </c>
      <c r="W10" s="32" t="s">
        <v>23</v>
      </c>
      <c r="X10" s="108"/>
      <c r="Y10" s="107">
        <v>6</v>
      </c>
      <c r="Z10" s="34">
        <f>J45</f>
        <v>6.1304655787520153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 x14ac:dyDescent="0.2">
      <c r="B11" s="89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13</v>
      </c>
      <c r="C11" s="89">
        <v>5</v>
      </c>
      <c r="D11" s="30" t="s">
        <v>7</v>
      </c>
      <c r="E11" s="88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8">
        <v>20</v>
      </c>
      <c r="G11" s="49">
        <f t="shared" si="0"/>
        <v>16.706812579095136</v>
      </c>
      <c r="H11" s="48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2900</v>
      </c>
      <c r="I11" s="57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88.5</v>
      </c>
      <c r="J11" s="57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5.93</v>
      </c>
      <c r="K11" s="57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18.5</v>
      </c>
      <c r="L11" s="57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3.86</v>
      </c>
      <c r="M11" s="57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9.7799999999999994</v>
      </c>
      <c r="N11" s="57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61.9</v>
      </c>
      <c r="O11" s="57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69.2</v>
      </c>
      <c r="P11" s="57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0.23100000000000001</v>
      </c>
      <c r="Q11" s="57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1.1000000000000001</v>
      </c>
      <c r="R11" s="57"/>
      <c r="S11" s="57"/>
      <c r="T11" s="57"/>
      <c r="U11" s="5"/>
      <c r="V11" s="31" t="s">
        <v>35</v>
      </c>
      <c r="W11" s="32" t="s">
        <v>23</v>
      </c>
      <c r="X11" s="108" t="s">
        <v>36</v>
      </c>
      <c r="Y11" s="109">
        <v>21</v>
      </c>
      <c r="Z11" s="35">
        <f>K45</f>
        <v>9.4113031564598444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 x14ac:dyDescent="0.2">
      <c r="B12" s="89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18</v>
      </c>
      <c r="C12" s="89">
        <v>6</v>
      </c>
      <c r="D12" s="30" t="s">
        <v>16</v>
      </c>
      <c r="E12" s="88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88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30</v>
      </c>
      <c r="G12" s="49">
        <f t="shared" si="0"/>
        <v>15.306085483192046</v>
      </c>
      <c r="H12" s="48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57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88.6</v>
      </c>
      <c r="J12" s="57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8.24</v>
      </c>
      <c r="K12" s="57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21.3</v>
      </c>
      <c r="L12" s="57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10.9</v>
      </c>
      <c r="M12" s="57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14.2</v>
      </c>
      <c r="N12" s="57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45.4</v>
      </c>
      <c r="O12" s="57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78.7</v>
      </c>
      <c r="P12" s="57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0.16500000000000001</v>
      </c>
      <c r="Q12" s="57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0.61599999999999999</v>
      </c>
      <c r="R12" s="57"/>
      <c r="S12" s="57"/>
      <c r="T12" s="57"/>
      <c r="U12" s="5"/>
      <c r="V12" s="31" t="s">
        <v>18</v>
      </c>
      <c r="W12" s="32" t="s">
        <v>23</v>
      </c>
      <c r="X12" s="108" t="s">
        <v>36</v>
      </c>
      <c r="Y12" s="107" t="s">
        <v>36</v>
      </c>
      <c r="Z12" s="35">
        <f>L45</f>
        <v>62.105137399015319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 x14ac:dyDescent="0.2">
      <c r="B13" s="89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15</v>
      </c>
      <c r="C13" s="89">
        <v>7</v>
      </c>
      <c r="D13" s="30" t="s">
        <v>43</v>
      </c>
      <c r="E13" s="88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88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35</v>
      </c>
      <c r="G13" s="49">
        <f t="shared" si="0"/>
        <v>0</v>
      </c>
      <c r="H13" s="48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6500</v>
      </c>
      <c r="I13" s="57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88.1</v>
      </c>
      <c r="J13" s="57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8.16</v>
      </c>
      <c r="K13" s="57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46.9</v>
      </c>
      <c r="L13" s="57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2.66</v>
      </c>
      <c r="M13" s="57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5.9</v>
      </c>
      <c r="N13" s="57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36.4</v>
      </c>
      <c r="O13" s="57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83.2</v>
      </c>
      <c r="P13" s="57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0.376</v>
      </c>
      <c r="Q13" s="57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0.71799999999999997</v>
      </c>
      <c r="R13" s="57"/>
      <c r="S13" s="57"/>
      <c r="T13" s="57"/>
      <c r="U13" s="5"/>
      <c r="V13" s="31" t="s">
        <v>75</v>
      </c>
      <c r="W13" s="32" t="s">
        <v>28</v>
      </c>
      <c r="X13" s="108">
        <v>70</v>
      </c>
      <c r="Y13" s="107">
        <v>72</v>
      </c>
      <c r="Z13" s="36">
        <f>M45</f>
        <v>72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 x14ac:dyDescent="0.2">
      <c r="B14" s="89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20</v>
      </c>
      <c r="C14" s="89">
        <v>8</v>
      </c>
      <c r="D14" s="30" t="s">
        <v>67</v>
      </c>
      <c r="E14" s="88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88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20</v>
      </c>
      <c r="G14" s="49">
        <f t="shared" si="0"/>
        <v>0</v>
      </c>
      <c r="H14" s="48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2000</v>
      </c>
      <c r="I14" s="57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94.6</v>
      </c>
      <c r="J14" s="57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4.5</v>
      </c>
      <c r="K14" s="57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32.299999999999997</v>
      </c>
      <c r="L14" s="57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10.199999999999999</v>
      </c>
      <c r="M14" s="57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17.3</v>
      </c>
      <c r="N14" s="57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35.700000000000003</v>
      </c>
      <c r="O14" s="57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75.400000000000006</v>
      </c>
      <c r="P14" s="57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0.20499999999999999</v>
      </c>
      <c r="Q14" s="57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0.55500000000000005</v>
      </c>
      <c r="R14" s="57"/>
      <c r="S14" s="57"/>
      <c r="T14" s="57"/>
      <c r="U14" s="5"/>
      <c r="V14" s="31" t="s">
        <v>41</v>
      </c>
      <c r="W14" s="32" t="s">
        <v>23</v>
      </c>
      <c r="X14" s="110">
        <v>0.6</v>
      </c>
      <c r="Y14" s="111">
        <v>1</v>
      </c>
      <c r="Z14" s="37">
        <f>N45</f>
        <v>0.59999999999999987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 x14ac:dyDescent="0.2">
      <c r="B15" s="89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25</v>
      </c>
      <c r="C15" s="89">
        <v>9</v>
      </c>
      <c r="D15" s="30" t="s">
        <v>85</v>
      </c>
      <c r="E15" s="88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5</v>
      </c>
      <c r="F15" s="88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7</v>
      </c>
      <c r="G15" s="49">
        <f t="shared" si="0"/>
        <v>5</v>
      </c>
      <c r="H15" s="48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2000</v>
      </c>
      <c r="I15" s="57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70.89</v>
      </c>
      <c r="J15" s="57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4</v>
      </c>
      <c r="K15" s="57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4</v>
      </c>
      <c r="L15" s="57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0.1</v>
      </c>
      <c r="M15" s="57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1</v>
      </c>
      <c r="N15" s="57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90.9</v>
      </c>
      <c r="O15" s="57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80</v>
      </c>
      <c r="P15" s="57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0.8</v>
      </c>
      <c r="Q15" s="57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57"/>
      <c r="S15" s="57"/>
      <c r="T15" s="57"/>
      <c r="U15" s="5"/>
      <c r="V15" s="31" t="s">
        <v>77</v>
      </c>
      <c r="W15" s="32" t="s">
        <v>23</v>
      </c>
      <c r="X15" s="110">
        <v>0.6</v>
      </c>
      <c r="Y15" s="111">
        <v>0.8</v>
      </c>
      <c r="Z15" s="37">
        <f>O45</f>
        <v>1.1810551780795353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 x14ac:dyDescent="0.2">
      <c r="B16" s="89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27</v>
      </c>
      <c r="C16" s="89">
        <v>10</v>
      </c>
      <c r="D16" s="30" t="s">
        <v>17</v>
      </c>
      <c r="E16" s="88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88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2</v>
      </c>
      <c r="G16" s="49">
        <f t="shared" si="0"/>
        <v>0</v>
      </c>
      <c r="H16" s="48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500</v>
      </c>
      <c r="I16" s="57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</v>
      </c>
      <c r="J16" s="57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7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7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7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7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7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7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38</v>
      </c>
      <c r="Q16" s="57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7"/>
      <c r="S16" s="57"/>
      <c r="T16" s="57"/>
      <c r="U16" s="5"/>
      <c r="V16" s="78" t="s">
        <v>37</v>
      </c>
      <c r="W16" s="79" t="s">
        <v>31</v>
      </c>
      <c r="X16" s="77">
        <f>F45</f>
        <v>2718.3052608096036</v>
      </c>
      <c r="Y16" s="79"/>
      <c r="Z16" s="79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 x14ac:dyDescent="0.2">
      <c r="B17" s="89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29</v>
      </c>
      <c r="C17" s="89">
        <v>11</v>
      </c>
      <c r="D17" s="30" t="s">
        <v>88</v>
      </c>
      <c r="E17" s="88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8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49">
        <f t="shared" si="0"/>
        <v>1.8083070207345058</v>
      </c>
      <c r="H17" s="48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20000</v>
      </c>
      <c r="I17" s="57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93.5</v>
      </c>
      <c r="J17" s="57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7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7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7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7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7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7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22.72</v>
      </c>
      <c r="Q17" s="57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17.68</v>
      </c>
      <c r="R17" s="57"/>
      <c r="S17" s="57"/>
      <c r="T17" s="57"/>
      <c r="U17" s="5"/>
      <c r="V17" s="81">
        <f ca="1">NOW()</f>
        <v>42090.979192592589</v>
      </c>
      <c r="W17" s="80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 x14ac:dyDescent="0.2">
      <c r="B18" s="89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33</v>
      </c>
      <c r="C18" s="89">
        <v>12</v>
      </c>
      <c r="D18" s="30"/>
      <c r="E18" s="88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8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49">
        <f t="shared" si="0"/>
        <v>0</v>
      </c>
      <c r="H18" s="48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7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7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7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7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7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7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7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7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7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7"/>
      <c r="S18" s="57"/>
      <c r="T18" s="57"/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 x14ac:dyDescent="0.2">
      <c r="B19" s="89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33</v>
      </c>
      <c r="C19" s="89">
        <v>13</v>
      </c>
      <c r="D19" s="30"/>
      <c r="E19" s="88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8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49">
        <f t="shared" si="0"/>
        <v>0</v>
      </c>
      <c r="H19" s="48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7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7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7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7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7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7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7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7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7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7"/>
      <c r="S19" s="57"/>
      <c r="T19" s="57"/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 x14ac:dyDescent="0.2">
      <c r="B20" s="89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33</v>
      </c>
      <c r="C20" s="89">
        <v>14</v>
      </c>
      <c r="D20" s="30"/>
      <c r="E20" s="88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8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49">
        <f t="shared" si="0"/>
        <v>0</v>
      </c>
      <c r="H20" s="48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7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7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7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7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7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7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7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7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7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7"/>
      <c r="S20" s="57"/>
      <c r="T20" s="57"/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 x14ac:dyDescent="0.2">
      <c r="B21" s="89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89">
        <v>15</v>
      </c>
      <c r="D21" s="30"/>
      <c r="E21" s="88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8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49">
        <f t="shared" si="0"/>
        <v>0</v>
      </c>
      <c r="H21" s="48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7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7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7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7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7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7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7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7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7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7"/>
      <c r="S21" s="57"/>
      <c r="T21" s="57"/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 x14ac:dyDescent="0.2">
      <c r="B22" s="41"/>
      <c r="C22" s="41"/>
      <c r="D22" s="42"/>
      <c r="E22" s="50"/>
      <c r="F22" s="50"/>
      <c r="G22" s="43">
        <f>E45</f>
        <v>100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 x14ac:dyDescent="0.2">
      <c r="B23" s="44"/>
      <c r="C23" s="44"/>
      <c r="D23" s="19"/>
      <c r="E23" s="51"/>
      <c r="F23" s="51"/>
      <c r="G23" s="51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 x14ac:dyDescent="0.2">
      <c r="B24" s="44"/>
      <c r="C24" s="44"/>
      <c r="D24" s="19"/>
      <c r="E24" s="51"/>
      <c r="F24" s="51"/>
      <c r="G24" s="51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x14ac:dyDescent="0.2">
      <c r="B25" s="23"/>
      <c r="C25" s="23"/>
      <c r="D25" s="19"/>
      <c r="E25" s="51"/>
      <c r="F25" s="51"/>
      <c r="G25" s="51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 x14ac:dyDescent="0.2">
      <c r="B26" s="23"/>
      <c r="C26" s="23"/>
      <c r="D26" s="19"/>
      <c r="E26" s="51"/>
      <c r="F26" s="51"/>
      <c r="G26" s="51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.25" hidden="1" x14ac:dyDescent="0.3">
      <c r="B27" s="24"/>
      <c r="C27" s="24" t="s">
        <v>40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 x14ac:dyDescent="0.2">
      <c r="B28" s="58" t="s">
        <v>51</v>
      </c>
      <c r="C28" s="58" t="s">
        <v>0</v>
      </c>
      <c r="D28" s="59" t="s">
        <v>19</v>
      </c>
      <c r="E28" s="60" t="s">
        <v>23</v>
      </c>
      <c r="F28" s="60" t="s">
        <v>8</v>
      </c>
      <c r="G28" s="60" t="s">
        <v>9</v>
      </c>
      <c r="H28" s="60" t="s">
        <v>10</v>
      </c>
      <c r="I28" s="60" t="s">
        <v>11</v>
      </c>
      <c r="J28" s="60" t="s">
        <v>12</v>
      </c>
      <c r="K28" s="60" t="s">
        <v>13</v>
      </c>
      <c r="L28" s="60" t="s">
        <v>18</v>
      </c>
      <c r="M28" s="60" t="s">
        <v>75</v>
      </c>
      <c r="N28" s="60" t="s">
        <v>2</v>
      </c>
      <c r="O28" s="60" t="s">
        <v>5</v>
      </c>
      <c r="P28" s="60"/>
      <c r="Q28" s="60"/>
      <c r="R28" s="60"/>
      <c r="S28" s="60"/>
      <c r="T28" s="60"/>
      <c r="V28" s="19"/>
      <c r="W28" s="19"/>
      <c r="X28" s="19"/>
    </row>
    <row r="29" spans="2:40" s="15" customFormat="1" ht="16.5" hidden="1" customHeight="1" x14ac:dyDescent="0.2">
      <c r="B29" s="32">
        <f>B7</f>
        <v>10</v>
      </c>
      <c r="C29" s="32">
        <v>1</v>
      </c>
      <c r="D29" s="61" t="str">
        <f>D7</f>
        <v>Bekatul</v>
      </c>
      <c r="E29" s="62">
        <v>20</v>
      </c>
      <c r="F29" s="63">
        <f>$E29/100*H7</f>
        <v>440</v>
      </c>
      <c r="G29" s="63">
        <f>$E29/100*I7</f>
        <v>17.600000000000001</v>
      </c>
      <c r="H29" s="63">
        <f t="shared" ref="H29:O29" si="1">$E29/100*J7</f>
        <v>1.9960000000000002</v>
      </c>
      <c r="I29" s="63">
        <f t="shared" si="1"/>
        <v>2.5600000000000005</v>
      </c>
      <c r="J29" s="63">
        <f t="shared" si="1"/>
        <v>1.62</v>
      </c>
      <c r="K29" s="63">
        <f t="shared" si="1"/>
        <v>1.4260000000000002</v>
      </c>
      <c r="L29" s="63">
        <f t="shared" si="1"/>
        <v>12.4</v>
      </c>
      <c r="M29" s="63">
        <f t="shared" si="1"/>
        <v>13.980000000000002</v>
      </c>
      <c r="N29" s="63">
        <f t="shared" si="1"/>
        <v>1.5720000000000001E-2</v>
      </c>
      <c r="O29" s="63">
        <f t="shared" si="1"/>
        <v>0.246</v>
      </c>
      <c r="P29" s="63"/>
      <c r="Q29" s="63"/>
      <c r="R29" s="63"/>
      <c r="S29" s="63">
        <f>E7</f>
        <v>0</v>
      </c>
      <c r="T29" s="63">
        <f>F7</f>
        <v>20</v>
      </c>
      <c r="V29" s="19"/>
      <c r="W29" s="19"/>
      <c r="X29" s="19"/>
    </row>
    <row r="30" spans="2:40" s="15" customFormat="1" ht="16.5" hidden="1" customHeight="1" x14ac:dyDescent="0.2">
      <c r="B30" s="32">
        <f t="shared" ref="B30:D43" si="2">B8</f>
        <v>7</v>
      </c>
      <c r="C30" s="32">
        <v>2</v>
      </c>
      <c r="D30" s="61" t="str">
        <f t="shared" si="2"/>
        <v>Jagung</v>
      </c>
      <c r="E30" s="62">
        <v>10</v>
      </c>
      <c r="F30" s="63">
        <f t="shared" ref="F30:O43" si="3">$E30/100*H8</f>
        <v>320</v>
      </c>
      <c r="G30" s="63">
        <f t="shared" si="3"/>
        <v>8.68</v>
      </c>
      <c r="H30" s="63">
        <f t="shared" si="3"/>
        <v>0.215</v>
      </c>
      <c r="I30" s="63">
        <f t="shared" si="3"/>
        <v>1.08</v>
      </c>
      <c r="J30" s="63">
        <f t="shared" si="3"/>
        <v>0.42800000000000005</v>
      </c>
      <c r="K30" s="63">
        <f t="shared" si="3"/>
        <v>0.35299999999999998</v>
      </c>
      <c r="L30" s="63">
        <f t="shared" si="3"/>
        <v>8.0200000000000014</v>
      </c>
      <c r="M30" s="63">
        <f t="shared" si="3"/>
        <v>8.08</v>
      </c>
      <c r="N30" s="63">
        <f t="shared" si="3"/>
        <v>2.3400000000000004E-2</v>
      </c>
      <c r="O30" s="63">
        <f t="shared" si="3"/>
        <v>4.1399999999999999E-2</v>
      </c>
      <c r="P30" s="63"/>
      <c r="Q30" s="63"/>
      <c r="R30" s="63"/>
      <c r="S30" s="63">
        <f t="shared" ref="S30:T30" si="4">E8</f>
        <v>10</v>
      </c>
      <c r="T30" s="63">
        <f t="shared" si="4"/>
        <v>50</v>
      </c>
      <c r="V30" s="19"/>
      <c r="W30" s="19"/>
      <c r="X30" s="19"/>
    </row>
    <row r="31" spans="2:40" s="15" customFormat="1" ht="16.5" hidden="1" customHeight="1" x14ac:dyDescent="0.2">
      <c r="B31" s="32">
        <f t="shared" si="2"/>
        <v>8</v>
      </c>
      <c r="C31" s="32">
        <v>3</v>
      </c>
      <c r="D31" s="61" t="str">
        <f t="shared" si="2"/>
        <v>Dedak Padi</v>
      </c>
      <c r="E31" s="62">
        <v>20</v>
      </c>
      <c r="F31" s="63">
        <f t="shared" si="3"/>
        <v>360</v>
      </c>
      <c r="G31" s="63">
        <f t="shared" si="3"/>
        <v>17.540000000000003</v>
      </c>
      <c r="H31" s="63">
        <f t="shared" si="3"/>
        <v>2.72</v>
      </c>
      <c r="I31" s="63">
        <f t="shared" si="3"/>
        <v>2.6</v>
      </c>
      <c r="J31" s="63">
        <f t="shared" si="3"/>
        <v>1.7280000000000002</v>
      </c>
      <c r="K31" s="63">
        <f t="shared" si="3"/>
        <v>2.7800000000000002</v>
      </c>
      <c r="L31" s="63">
        <f t="shared" si="3"/>
        <v>10.18</v>
      </c>
      <c r="M31" s="63">
        <f t="shared" si="3"/>
        <v>13.580000000000002</v>
      </c>
      <c r="N31" s="63">
        <f t="shared" si="3"/>
        <v>1.712E-2</v>
      </c>
      <c r="O31" s="63">
        <f t="shared" si="3"/>
        <v>0.27799999999999997</v>
      </c>
      <c r="P31" s="63"/>
      <c r="Q31" s="63"/>
      <c r="R31" s="63"/>
      <c r="S31" s="63">
        <f t="shared" ref="S31:T31" si="5">E9</f>
        <v>0</v>
      </c>
      <c r="T31" s="63">
        <f t="shared" si="5"/>
        <v>20</v>
      </c>
      <c r="V31" s="19"/>
      <c r="W31" s="19"/>
      <c r="X31" s="19"/>
    </row>
    <row r="32" spans="2:40" s="15" customFormat="1" ht="16.5" hidden="1" customHeight="1" x14ac:dyDescent="0.2">
      <c r="B32" s="32">
        <f t="shared" si="2"/>
        <v>11</v>
      </c>
      <c r="C32" s="32">
        <v>4</v>
      </c>
      <c r="D32" s="61" t="str">
        <f t="shared" si="2"/>
        <v>Onggok</v>
      </c>
      <c r="E32" s="62">
        <v>11.178794916978321</v>
      </c>
      <c r="F32" s="63">
        <f t="shared" si="3"/>
        <v>223.57589833956644</v>
      </c>
      <c r="G32" s="63">
        <f t="shared" si="3"/>
        <v>8.9206783437486994</v>
      </c>
      <c r="H32" s="63">
        <f t="shared" si="3"/>
        <v>0.2682910780074797</v>
      </c>
      <c r="I32" s="63">
        <f t="shared" si="3"/>
        <v>0.20904346494749462</v>
      </c>
      <c r="J32" s="63">
        <f t="shared" si="3"/>
        <v>3.6219295531009763E-2</v>
      </c>
      <c r="K32" s="63">
        <f t="shared" si="3"/>
        <v>0.99491274761107062</v>
      </c>
      <c r="L32" s="63">
        <f t="shared" si="3"/>
        <v>9.6696576031862485</v>
      </c>
      <c r="M32" s="63">
        <f t="shared" si="3"/>
        <v>8.7529964199940249</v>
      </c>
      <c r="N32" s="63">
        <f t="shared" si="3"/>
        <v>2.9064866784143637E-2</v>
      </c>
      <c r="O32" s="63">
        <f t="shared" si="3"/>
        <v>1.7886071867165315E-2</v>
      </c>
      <c r="P32" s="63"/>
      <c r="Q32" s="63"/>
      <c r="R32" s="63"/>
      <c r="S32" s="63">
        <f t="shared" ref="S32:T32" si="6">E10</f>
        <v>0</v>
      </c>
      <c r="T32" s="63">
        <f t="shared" si="6"/>
        <v>40</v>
      </c>
      <c r="V32" s="19"/>
      <c r="W32" s="19"/>
      <c r="X32" s="19"/>
    </row>
    <row r="33" spans="2:24" s="15" customFormat="1" ht="16.5" hidden="1" customHeight="1" x14ac:dyDescent="0.2">
      <c r="B33" s="32">
        <f t="shared" si="2"/>
        <v>13</v>
      </c>
      <c r="C33" s="32">
        <v>5</v>
      </c>
      <c r="D33" s="61" t="str">
        <f t="shared" si="2"/>
        <v>Pollard</v>
      </c>
      <c r="E33" s="62">
        <v>16.706812579095136</v>
      </c>
      <c r="F33" s="63">
        <f t="shared" si="3"/>
        <v>484.4975647937589</v>
      </c>
      <c r="G33" s="63">
        <f t="shared" si="3"/>
        <v>14.785529132499194</v>
      </c>
      <c r="H33" s="63">
        <f t="shared" si="3"/>
        <v>0.99071398594034144</v>
      </c>
      <c r="I33" s="63">
        <f t="shared" si="3"/>
        <v>3.0907603271326001</v>
      </c>
      <c r="J33" s="63">
        <f t="shared" si="3"/>
        <v>0.64488296555307212</v>
      </c>
      <c r="K33" s="63">
        <f t="shared" si="3"/>
        <v>1.633926270235504</v>
      </c>
      <c r="L33" s="63">
        <f t="shared" si="3"/>
        <v>10.341516986459888</v>
      </c>
      <c r="M33" s="63">
        <f t="shared" si="3"/>
        <v>11.561114304733833</v>
      </c>
      <c r="N33" s="63">
        <f t="shared" si="3"/>
        <v>3.8592737057709763E-2</v>
      </c>
      <c r="O33" s="63">
        <f t="shared" si="3"/>
        <v>0.18377493837004649</v>
      </c>
      <c r="P33" s="63"/>
      <c r="Q33" s="63"/>
      <c r="R33" s="63"/>
      <c r="S33" s="63">
        <f t="shared" ref="S33:T33" si="7">E11</f>
        <v>0</v>
      </c>
      <c r="T33" s="63">
        <f t="shared" si="7"/>
        <v>20</v>
      </c>
      <c r="V33" s="19"/>
      <c r="W33" s="19"/>
      <c r="X33" s="19"/>
    </row>
    <row r="34" spans="2:24" s="15" customFormat="1" ht="16.5" hidden="1" customHeight="1" x14ac:dyDescent="0.2">
      <c r="B34" s="32">
        <f t="shared" si="2"/>
        <v>18</v>
      </c>
      <c r="C34" s="32">
        <v>6</v>
      </c>
      <c r="D34" s="61" t="str">
        <f t="shared" si="2"/>
        <v>Bungkil Kelapa</v>
      </c>
      <c r="E34" s="62">
        <v>15.306085483192046</v>
      </c>
      <c r="F34" s="63">
        <f t="shared" si="3"/>
        <v>428.57039352937727</v>
      </c>
      <c r="G34" s="63">
        <f t="shared" si="3"/>
        <v>13.56119173810815</v>
      </c>
      <c r="H34" s="63">
        <f t="shared" si="3"/>
        <v>1.2612214438150244</v>
      </c>
      <c r="I34" s="63">
        <f t="shared" si="3"/>
        <v>3.2601962079199054</v>
      </c>
      <c r="J34" s="63">
        <f t="shared" si="3"/>
        <v>1.6683633176679329</v>
      </c>
      <c r="K34" s="63">
        <f t="shared" si="3"/>
        <v>2.1734641386132703</v>
      </c>
      <c r="L34" s="63">
        <f t="shared" si="3"/>
        <v>6.9489628093691884</v>
      </c>
      <c r="M34" s="63">
        <f t="shared" si="3"/>
        <v>12.04588927527214</v>
      </c>
      <c r="N34" s="63">
        <f t="shared" si="3"/>
        <v>2.5255041047266873E-2</v>
      </c>
      <c r="O34" s="63">
        <f t="shared" si="3"/>
        <v>9.428548657646299E-2</v>
      </c>
      <c r="P34" s="63"/>
      <c r="Q34" s="63"/>
      <c r="R34" s="63"/>
      <c r="S34" s="63">
        <f t="shared" ref="S34:T34" si="8">E12</f>
        <v>0</v>
      </c>
      <c r="T34" s="63">
        <f t="shared" si="8"/>
        <v>30</v>
      </c>
      <c r="V34" s="19"/>
      <c r="W34" s="19"/>
      <c r="X34" s="19"/>
    </row>
    <row r="35" spans="2:24" s="15" customFormat="1" ht="16.5" hidden="1" customHeight="1" x14ac:dyDescent="0.2">
      <c r="B35" s="32">
        <f t="shared" si="2"/>
        <v>15</v>
      </c>
      <c r="C35" s="32">
        <v>7</v>
      </c>
      <c r="D35" s="61" t="str">
        <f t="shared" si="2"/>
        <v>Bungkil Kedelai</v>
      </c>
      <c r="E35" s="62">
        <v>0</v>
      </c>
      <c r="F35" s="63">
        <f t="shared" si="3"/>
        <v>0</v>
      </c>
      <c r="G35" s="63">
        <f t="shared" si="3"/>
        <v>0</v>
      </c>
      <c r="H35" s="63">
        <f t="shared" si="3"/>
        <v>0</v>
      </c>
      <c r="I35" s="63">
        <f t="shared" si="3"/>
        <v>0</v>
      </c>
      <c r="J35" s="63">
        <f t="shared" si="3"/>
        <v>0</v>
      </c>
      <c r="K35" s="63">
        <f t="shared" si="3"/>
        <v>0</v>
      </c>
      <c r="L35" s="63">
        <f t="shared" si="3"/>
        <v>0</v>
      </c>
      <c r="M35" s="63">
        <f t="shared" si="3"/>
        <v>0</v>
      </c>
      <c r="N35" s="63">
        <f t="shared" si="3"/>
        <v>0</v>
      </c>
      <c r="O35" s="63">
        <f t="shared" si="3"/>
        <v>0</v>
      </c>
      <c r="P35" s="63"/>
      <c r="Q35" s="63"/>
      <c r="R35" s="63"/>
      <c r="S35" s="63">
        <f t="shared" ref="S35:T35" si="9">E13</f>
        <v>0</v>
      </c>
      <c r="T35" s="63">
        <f t="shared" si="9"/>
        <v>35</v>
      </c>
      <c r="V35" s="19"/>
      <c r="W35" s="19"/>
      <c r="X35" s="19"/>
    </row>
    <row r="36" spans="2:24" s="15" customFormat="1" ht="16.5" hidden="1" customHeight="1" x14ac:dyDescent="0.2">
      <c r="B36" s="32">
        <f t="shared" si="2"/>
        <v>20</v>
      </c>
      <c r="C36" s="32">
        <v>8</v>
      </c>
      <c r="D36" s="61" t="str">
        <f t="shared" si="2"/>
        <v>Ampas Bir Kering</v>
      </c>
      <c r="E36" s="62">
        <v>0</v>
      </c>
      <c r="F36" s="63">
        <f t="shared" si="3"/>
        <v>0</v>
      </c>
      <c r="G36" s="63">
        <f t="shared" si="3"/>
        <v>0</v>
      </c>
      <c r="H36" s="63">
        <f t="shared" si="3"/>
        <v>0</v>
      </c>
      <c r="I36" s="63">
        <f t="shared" si="3"/>
        <v>0</v>
      </c>
      <c r="J36" s="63">
        <f t="shared" si="3"/>
        <v>0</v>
      </c>
      <c r="K36" s="63">
        <f t="shared" si="3"/>
        <v>0</v>
      </c>
      <c r="L36" s="63">
        <f t="shared" si="3"/>
        <v>0</v>
      </c>
      <c r="M36" s="63">
        <f t="shared" si="3"/>
        <v>0</v>
      </c>
      <c r="N36" s="63">
        <f t="shared" si="3"/>
        <v>0</v>
      </c>
      <c r="O36" s="63">
        <f t="shared" si="3"/>
        <v>0</v>
      </c>
      <c r="P36" s="63"/>
      <c r="Q36" s="63"/>
      <c r="R36" s="63"/>
      <c r="S36" s="63">
        <f t="shared" ref="S36:T36" si="10">E14</f>
        <v>0</v>
      </c>
      <c r="T36" s="63">
        <f t="shared" si="10"/>
        <v>20</v>
      </c>
      <c r="V36" s="19"/>
      <c r="W36" s="19"/>
      <c r="X36" s="19"/>
    </row>
    <row r="37" spans="2:24" s="15" customFormat="1" ht="16.5" hidden="1" customHeight="1" x14ac:dyDescent="0.2">
      <c r="B37" s="32">
        <f t="shared" si="2"/>
        <v>25</v>
      </c>
      <c r="C37" s="32">
        <v>9</v>
      </c>
      <c r="D37" s="61" t="str">
        <f t="shared" si="2"/>
        <v>Molases</v>
      </c>
      <c r="E37" s="62">
        <v>5</v>
      </c>
      <c r="F37" s="63">
        <f t="shared" si="3"/>
        <v>100</v>
      </c>
      <c r="G37" s="63">
        <f t="shared" si="3"/>
        <v>3.5445000000000002</v>
      </c>
      <c r="H37" s="63">
        <f t="shared" si="3"/>
        <v>0.2</v>
      </c>
      <c r="I37" s="63">
        <f t="shared" si="3"/>
        <v>0.2</v>
      </c>
      <c r="J37" s="63">
        <f t="shared" si="3"/>
        <v>5.000000000000001E-3</v>
      </c>
      <c r="K37" s="63">
        <f t="shared" si="3"/>
        <v>0.05</v>
      </c>
      <c r="L37" s="63">
        <f t="shared" si="3"/>
        <v>4.5450000000000008</v>
      </c>
      <c r="M37" s="63">
        <f t="shared" si="3"/>
        <v>4</v>
      </c>
      <c r="N37" s="63">
        <f t="shared" si="3"/>
        <v>4.0000000000000008E-2</v>
      </c>
      <c r="O37" s="63">
        <f t="shared" si="3"/>
        <v>0</v>
      </c>
      <c r="P37" s="63"/>
      <c r="Q37" s="63"/>
      <c r="R37" s="63"/>
      <c r="S37" s="63">
        <f t="shared" ref="S37:T37" si="11">E15</f>
        <v>5</v>
      </c>
      <c r="T37" s="63">
        <f t="shared" si="11"/>
        <v>7</v>
      </c>
      <c r="V37" s="19"/>
      <c r="W37" s="19"/>
      <c r="X37" s="19"/>
    </row>
    <row r="38" spans="2:24" s="15" customFormat="1" ht="16.5" hidden="1" customHeight="1" x14ac:dyDescent="0.2">
      <c r="B38" s="32">
        <f t="shared" si="2"/>
        <v>27</v>
      </c>
      <c r="C38" s="32">
        <v>10</v>
      </c>
      <c r="D38" s="61" t="str">
        <f t="shared" si="2"/>
        <v>Kapur</v>
      </c>
      <c r="E38" s="62">
        <v>0</v>
      </c>
      <c r="F38" s="63">
        <f t="shared" si="3"/>
        <v>0</v>
      </c>
      <c r="G38" s="63">
        <f t="shared" si="3"/>
        <v>0</v>
      </c>
      <c r="H38" s="63">
        <f t="shared" si="3"/>
        <v>0</v>
      </c>
      <c r="I38" s="63">
        <f t="shared" si="3"/>
        <v>0</v>
      </c>
      <c r="J38" s="63">
        <f t="shared" si="3"/>
        <v>0</v>
      </c>
      <c r="K38" s="63">
        <f t="shared" si="3"/>
        <v>0</v>
      </c>
      <c r="L38" s="63">
        <f t="shared" si="3"/>
        <v>0</v>
      </c>
      <c r="M38" s="63">
        <f t="shared" si="3"/>
        <v>0</v>
      </c>
      <c r="N38" s="63">
        <f t="shared" si="3"/>
        <v>0</v>
      </c>
      <c r="O38" s="63">
        <f t="shared" si="3"/>
        <v>0</v>
      </c>
      <c r="P38" s="63"/>
      <c r="Q38" s="63"/>
      <c r="R38" s="63"/>
      <c r="S38" s="63">
        <f t="shared" ref="S38:T38" si="12">E16</f>
        <v>0</v>
      </c>
      <c r="T38" s="63">
        <f t="shared" si="12"/>
        <v>2</v>
      </c>
      <c r="V38" s="19"/>
      <c r="W38" s="19"/>
      <c r="X38" s="19"/>
    </row>
    <row r="39" spans="2:24" s="15" customFormat="1" ht="16.5" hidden="1" customHeight="1" x14ac:dyDescent="0.2">
      <c r="B39" s="32">
        <f t="shared" si="2"/>
        <v>29</v>
      </c>
      <c r="C39" s="32">
        <v>11</v>
      </c>
      <c r="D39" s="61" t="str">
        <f t="shared" si="2"/>
        <v>DCP</v>
      </c>
      <c r="E39" s="62">
        <v>1.8083070207345058</v>
      </c>
      <c r="F39" s="63">
        <f t="shared" si="3"/>
        <v>361.66140414690113</v>
      </c>
      <c r="G39" s="63">
        <f t="shared" si="3"/>
        <v>1.6907670643867629</v>
      </c>
      <c r="H39" s="63">
        <f t="shared" si="3"/>
        <v>0</v>
      </c>
      <c r="I39" s="63">
        <f t="shared" si="3"/>
        <v>0</v>
      </c>
      <c r="J39" s="63">
        <f t="shared" si="3"/>
        <v>0</v>
      </c>
      <c r="K39" s="63">
        <f t="shared" si="3"/>
        <v>0</v>
      </c>
      <c r="L39" s="63">
        <f t="shared" si="3"/>
        <v>0</v>
      </c>
      <c r="M39" s="63">
        <f t="shared" si="3"/>
        <v>0</v>
      </c>
      <c r="N39" s="63">
        <f t="shared" si="3"/>
        <v>0.41084735511087966</v>
      </c>
      <c r="O39" s="63">
        <f t="shared" si="3"/>
        <v>0.31970868126586061</v>
      </c>
      <c r="P39" s="63"/>
      <c r="Q39" s="63"/>
      <c r="R39" s="63"/>
      <c r="S39" s="63">
        <f t="shared" ref="S39:T39" si="13">E17</f>
        <v>0</v>
      </c>
      <c r="T39" s="63">
        <f t="shared" si="13"/>
        <v>2</v>
      </c>
      <c r="V39" s="19"/>
      <c r="W39" s="19"/>
      <c r="X39" s="19"/>
    </row>
    <row r="40" spans="2:24" s="15" customFormat="1" ht="16.5" hidden="1" customHeight="1" x14ac:dyDescent="0.2">
      <c r="B40" s="32">
        <f t="shared" si="2"/>
        <v>33</v>
      </c>
      <c r="C40" s="32">
        <v>12</v>
      </c>
      <c r="D40" s="61">
        <f t="shared" si="2"/>
        <v>0</v>
      </c>
      <c r="E40" s="62">
        <v>0</v>
      </c>
      <c r="F40" s="63">
        <f t="shared" si="3"/>
        <v>0</v>
      </c>
      <c r="G40" s="63">
        <f t="shared" si="3"/>
        <v>0</v>
      </c>
      <c r="H40" s="63">
        <f t="shared" si="3"/>
        <v>0</v>
      </c>
      <c r="I40" s="63">
        <f t="shared" si="3"/>
        <v>0</v>
      </c>
      <c r="J40" s="63">
        <f t="shared" si="3"/>
        <v>0</v>
      </c>
      <c r="K40" s="63">
        <f t="shared" si="3"/>
        <v>0</v>
      </c>
      <c r="L40" s="63">
        <f t="shared" si="3"/>
        <v>0</v>
      </c>
      <c r="M40" s="63">
        <f t="shared" si="3"/>
        <v>0</v>
      </c>
      <c r="N40" s="63">
        <f t="shared" si="3"/>
        <v>0</v>
      </c>
      <c r="O40" s="63">
        <f t="shared" si="3"/>
        <v>0</v>
      </c>
      <c r="P40" s="63"/>
      <c r="Q40" s="63"/>
      <c r="R40" s="63"/>
      <c r="S40" s="63">
        <f t="shared" ref="S40:T40" si="14">E18</f>
        <v>0</v>
      </c>
      <c r="T40" s="63">
        <f t="shared" si="14"/>
        <v>0</v>
      </c>
      <c r="V40" s="19"/>
      <c r="W40" s="19"/>
      <c r="X40" s="19"/>
    </row>
    <row r="41" spans="2:24" s="15" customFormat="1" ht="16.5" hidden="1" customHeight="1" x14ac:dyDescent="0.2">
      <c r="B41" s="32">
        <f t="shared" si="2"/>
        <v>33</v>
      </c>
      <c r="C41" s="32">
        <v>13</v>
      </c>
      <c r="D41" s="61">
        <f t="shared" si="2"/>
        <v>0</v>
      </c>
      <c r="E41" s="62">
        <v>0</v>
      </c>
      <c r="F41" s="63">
        <f t="shared" si="3"/>
        <v>0</v>
      </c>
      <c r="G41" s="63">
        <f t="shared" si="3"/>
        <v>0</v>
      </c>
      <c r="H41" s="63">
        <f t="shared" si="3"/>
        <v>0</v>
      </c>
      <c r="I41" s="63">
        <f t="shared" si="3"/>
        <v>0</v>
      </c>
      <c r="J41" s="63">
        <f t="shared" si="3"/>
        <v>0</v>
      </c>
      <c r="K41" s="63">
        <f t="shared" si="3"/>
        <v>0</v>
      </c>
      <c r="L41" s="63">
        <f t="shared" si="3"/>
        <v>0</v>
      </c>
      <c r="M41" s="63">
        <f t="shared" si="3"/>
        <v>0</v>
      </c>
      <c r="N41" s="63">
        <f t="shared" si="3"/>
        <v>0</v>
      </c>
      <c r="O41" s="63">
        <f t="shared" si="3"/>
        <v>0</v>
      </c>
      <c r="P41" s="63"/>
      <c r="Q41" s="63"/>
      <c r="R41" s="63"/>
      <c r="S41" s="63">
        <f t="shared" ref="S41:T41" si="15">E19</f>
        <v>0</v>
      </c>
      <c r="T41" s="63">
        <f t="shared" si="15"/>
        <v>0</v>
      </c>
      <c r="V41" s="19"/>
      <c r="W41" s="19"/>
      <c r="X41" s="19"/>
    </row>
    <row r="42" spans="2:24" s="15" customFormat="1" ht="16.5" hidden="1" customHeight="1" x14ac:dyDescent="0.2">
      <c r="B42" s="32">
        <f t="shared" si="2"/>
        <v>33</v>
      </c>
      <c r="C42" s="32">
        <v>14</v>
      </c>
      <c r="D42" s="61">
        <f t="shared" si="2"/>
        <v>0</v>
      </c>
      <c r="E42" s="62">
        <v>0</v>
      </c>
      <c r="F42" s="63">
        <f t="shared" si="3"/>
        <v>0</v>
      </c>
      <c r="G42" s="63">
        <f t="shared" si="3"/>
        <v>0</v>
      </c>
      <c r="H42" s="63">
        <f t="shared" si="3"/>
        <v>0</v>
      </c>
      <c r="I42" s="63">
        <f t="shared" si="3"/>
        <v>0</v>
      </c>
      <c r="J42" s="63">
        <f t="shared" si="3"/>
        <v>0</v>
      </c>
      <c r="K42" s="63">
        <f t="shared" si="3"/>
        <v>0</v>
      </c>
      <c r="L42" s="63">
        <f t="shared" si="3"/>
        <v>0</v>
      </c>
      <c r="M42" s="63">
        <f t="shared" si="3"/>
        <v>0</v>
      </c>
      <c r="N42" s="63">
        <f t="shared" si="3"/>
        <v>0</v>
      </c>
      <c r="O42" s="63">
        <f t="shared" si="3"/>
        <v>0</v>
      </c>
      <c r="P42" s="63"/>
      <c r="Q42" s="63"/>
      <c r="R42" s="63"/>
      <c r="S42" s="63">
        <f t="shared" ref="S42:T42" si="16">E20</f>
        <v>0</v>
      </c>
      <c r="T42" s="63">
        <f t="shared" si="16"/>
        <v>0</v>
      </c>
      <c r="V42" s="19"/>
      <c r="W42" s="19"/>
      <c r="X42" s="19"/>
    </row>
    <row r="43" spans="2:24" s="15" customFormat="1" ht="16.5" hidden="1" customHeight="1" x14ac:dyDescent="0.2">
      <c r="B43" s="32">
        <f t="shared" si="2"/>
        <v>33</v>
      </c>
      <c r="C43" s="32">
        <v>15</v>
      </c>
      <c r="D43" s="61">
        <f t="shared" si="2"/>
        <v>0</v>
      </c>
      <c r="E43" s="62">
        <v>0</v>
      </c>
      <c r="F43" s="63">
        <f t="shared" si="3"/>
        <v>0</v>
      </c>
      <c r="G43" s="63">
        <f t="shared" si="3"/>
        <v>0</v>
      </c>
      <c r="H43" s="63">
        <f t="shared" si="3"/>
        <v>0</v>
      </c>
      <c r="I43" s="63">
        <f t="shared" si="3"/>
        <v>0</v>
      </c>
      <c r="J43" s="63">
        <f t="shared" si="3"/>
        <v>0</v>
      </c>
      <c r="K43" s="63">
        <f t="shared" si="3"/>
        <v>0</v>
      </c>
      <c r="L43" s="63">
        <f t="shared" si="3"/>
        <v>0</v>
      </c>
      <c r="M43" s="63">
        <f t="shared" si="3"/>
        <v>0</v>
      </c>
      <c r="N43" s="63">
        <f t="shared" si="3"/>
        <v>0</v>
      </c>
      <c r="O43" s="63">
        <f t="shared" si="3"/>
        <v>0</v>
      </c>
      <c r="P43" s="63"/>
      <c r="Q43" s="63"/>
      <c r="R43" s="63"/>
      <c r="S43" s="63">
        <f t="shared" ref="S43:T43" si="17">E21</f>
        <v>0</v>
      </c>
      <c r="T43" s="63">
        <f t="shared" si="17"/>
        <v>0</v>
      </c>
      <c r="V43" s="19"/>
      <c r="W43" s="19"/>
      <c r="X43" s="19"/>
    </row>
    <row r="44" spans="2:24" s="15" customFormat="1" ht="16.5" hidden="1" customHeight="1" x14ac:dyDescent="0.2">
      <c r="B44" s="25"/>
      <c r="C44" s="25"/>
      <c r="D44" s="26" t="s">
        <v>24</v>
      </c>
      <c r="E44" s="53">
        <v>100</v>
      </c>
      <c r="F44" s="54"/>
      <c r="G44" s="53">
        <f>X7</f>
        <v>86</v>
      </c>
      <c r="H44" s="53"/>
      <c r="I44" s="53">
        <f>X9</f>
        <v>12</v>
      </c>
      <c r="J44" s="53">
        <f>X10</f>
        <v>0</v>
      </c>
      <c r="K44" s="53"/>
      <c r="L44" s="53"/>
      <c r="M44" s="54">
        <f>X13</f>
        <v>70</v>
      </c>
      <c r="N44" s="53">
        <f>X14</f>
        <v>0.6</v>
      </c>
      <c r="O44" s="53">
        <f>X15</f>
        <v>0.6</v>
      </c>
      <c r="P44" s="53"/>
      <c r="Q44" s="55"/>
      <c r="R44" s="55"/>
      <c r="S44" s="3"/>
      <c r="T44" s="52"/>
      <c r="V44" s="19"/>
      <c r="W44" s="19"/>
      <c r="X44" s="19"/>
    </row>
    <row r="45" spans="2:24" s="27" customFormat="1" ht="16.5" hidden="1" customHeight="1" x14ac:dyDescent="0.2">
      <c r="B45" s="39"/>
      <c r="C45" s="39"/>
      <c r="D45" s="65" t="s">
        <v>20</v>
      </c>
      <c r="E45" s="66">
        <f>SUM(E29:E43)</f>
        <v>100</v>
      </c>
      <c r="F45" s="67">
        <f t="shared" ref="F45:O45" si="18">SUM(F29:F43)</f>
        <v>2718.3052608096036</v>
      </c>
      <c r="G45" s="66">
        <f t="shared" si="18"/>
        <v>86.322666278742815</v>
      </c>
      <c r="H45" s="68">
        <f t="shared" si="18"/>
        <v>7.6512265077628472</v>
      </c>
      <c r="I45" s="69">
        <f t="shared" si="18"/>
        <v>13</v>
      </c>
      <c r="J45" s="68">
        <f>SUM(J29:J44)</f>
        <v>6.1304655787520153</v>
      </c>
      <c r="K45" s="69">
        <f t="shared" si="18"/>
        <v>9.4113031564598444</v>
      </c>
      <c r="L45" s="69">
        <f t="shared" si="18"/>
        <v>62.105137399015319</v>
      </c>
      <c r="M45" s="70">
        <f t="shared" si="18"/>
        <v>72</v>
      </c>
      <c r="N45" s="66">
        <f t="shared" si="18"/>
        <v>0.59999999999999987</v>
      </c>
      <c r="O45" s="66">
        <f t="shared" si="18"/>
        <v>1.1810551780795353</v>
      </c>
      <c r="P45" s="66"/>
      <c r="Q45" s="71"/>
      <c r="R45" s="71"/>
      <c r="S45" s="60"/>
      <c r="T45" s="72"/>
      <c r="V45" s="19"/>
      <c r="W45" s="19"/>
      <c r="X45" s="19"/>
    </row>
    <row r="46" spans="2:24" s="27" customFormat="1" ht="16.5" hidden="1" customHeight="1" x14ac:dyDescent="0.2">
      <c r="B46" s="25"/>
      <c r="C46" s="25"/>
      <c r="D46" s="26" t="s">
        <v>25</v>
      </c>
      <c r="E46" s="56"/>
      <c r="F46" s="54"/>
      <c r="G46" s="54"/>
      <c r="H46" s="53"/>
      <c r="I46" s="53">
        <f>Y9</f>
        <v>13</v>
      </c>
      <c r="J46" s="53">
        <f>Y10</f>
        <v>6</v>
      </c>
      <c r="K46" s="53">
        <f>Y11</f>
        <v>21</v>
      </c>
      <c r="L46" s="53"/>
      <c r="M46" s="54">
        <f>Y13</f>
        <v>72</v>
      </c>
      <c r="N46" s="53">
        <f>Y14</f>
        <v>1</v>
      </c>
      <c r="O46" s="54">
        <f>Y15</f>
        <v>0.8</v>
      </c>
      <c r="P46" s="53"/>
      <c r="Q46" s="55"/>
      <c r="R46" s="55"/>
      <c r="S46" s="3"/>
      <c r="T46" s="52"/>
    </row>
    <row r="47" spans="2:24" s="15" customFormat="1" hidden="1" x14ac:dyDescent="0.2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 x14ac:dyDescent="0.2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 x14ac:dyDescent="0.2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 x14ac:dyDescent="0.2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 x14ac:dyDescent="0.2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 x14ac:dyDescent="0.2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 x14ac:dyDescent="0.2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 x14ac:dyDescent="0.2">
      <c r="V54" s="15"/>
    </row>
    <row r="55" spans="5:22" ht="15" customHeight="1" x14ac:dyDescent="0.2">
      <c r="V55" s="15"/>
    </row>
    <row r="56" spans="5:22" ht="15" customHeight="1" x14ac:dyDescent="0.2">
      <c r="V56" s="15"/>
    </row>
    <row r="57" spans="5:22" ht="15" customHeight="1" x14ac:dyDescent="0.2">
      <c r="V57" s="15"/>
    </row>
    <row r="58" spans="5:22" ht="15" customHeight="1" x14ac:dyDescent="0.2">
      <c r="V58" s="15"/>
    </row>
    <row r="59" spans="5:22" ht="15" customHeight="1" x14ac:dyDescent="0.2">
      <c r="V59" s="15"/>
    </row>
    <row r="60" spans="5:22" ht="15" customHeight="1" x14ac:dyDescent="0.2"/>
    <row r="61" spans="5:22" ht="15" customHeight="1" x14ac:dyDescent="0.2"/>
    <row r="62" spans="5:22" ht="15" customHeight="1" x14ac:dyDescent="0.2"/>
    <row r="63" spans="5:22" ht="15" customHeight="1" x14ac:dyDescent="0.2"/>
    <row r="64" spans="5:22" ht="15" customHeight="1" x14ac:dyDescent="0.2"/>
    <row r="65" spans="2:16" ht="15" customHeight="1" x14ac:dyDescent="0.2"/>
    <row r="66" spans="2:16" ht="15" customHeight="1" x14ac:dyDescent="0.2"/>
    <row r="68" spans="2:16" x14ac:dyDescent="0.2">
      <c r="B68" s="23"/>
      <c r="C68" s="23"/>
      <c r="D68" s="19"/>
      <c r="E68" s="18"/>
      <c r="F68" s="51"/>
      <c r="G68" s="51"/>
      <c r="H68" s="18"/>
      <c r="I68" s="18"/>
      <c r="J68" s="18"/>
      <c r="K68" s="18"/>
      <c r="L68" s="18"/>
      <c r="M68" s="16"/>
      <c r="N68" s="16"/>
      <c r="O68" s="16"/>
      <c r="P68" s="16"/>
    </row>
    <row r="69" spans="2:16" x14ac:dyDescent="0.2">
      <c r="B69" s="23"/>
      <c r="C69" s="23"/>
      <c r="D69" s="19"/>
      <c r="E69" s="18"/>
      <c r="F69" s="51"/>
      <c r="G69" s="51"/>
      <c r="H69" s="18"/>
      <c r="I69" s="18"/>
      <c r="J69" s="18"/>
      <c r="K69" s="18"/>
      <c r="L69" s="20"/>
      <c r="M69" s="16"/>
      <c r="N69" s="16"/>
      <c r="O69" s="16"/>
      <c r="P69" s="16"/>
    </row>
    <row r="70" spans="2:16" x14ac:dyDescent="0.2">
      <c r="B70" s="23"/>
      <c r="C70" s="23"/>
      <c r="D70" s="19"/>
      <c r="E70" s="18"/>
      <c r="F70" s="51"/>
      <c r="G70" s="51"/>
      <c r="H70" s="18"/>
      <c r="I70" s="18"/>
      <c r="J70" s="18"/>
      <c r="K70" s="18"/>
      <c r="L70" s="20"/>
      <c r="M70" s="16"/>
      <c r="N70" s="16"/>
      <c r="O70" s="16"/>
      <c r="P70" s="16"/>
    </row>
    <row r="71" spans="2:16" x14ac:dyDescent="0.2">
      <c r="L71" s="16"/>
      <c r="M71" s="16"/>
      <c r="N71" s="16"/>
      <c r="O71" s="16"/>
      <c r="P71" s="16"/>
    </row>
    <row r="72" spans="2:16" x14ac:dyDescent="0.2">
      <c r="L72" s="16"/>
      <c r="M72" s="16"/>
      <c r="N72" s="16"/>
      <c r="O72" s="16"/>
      <c r="P72" s="16"/>
    </row>
    <row r="73" spans="2:16" x14ac:dyDescent="0.2">
      <c r="L73" s="16"/>
      <c r="M73" s="16"/>
      <c r="N73" s="16"/>
      <c r="O73" s="16"/>
      <c r="P73" s="16"/>
    </row>
    <row r="74" spans="2:16" x14ac:dyDescent="0.2">
      <c r="L74" s="16"/>
      <c r="M74" s="16"/>
      <c r="N74" s="16"/>
      <c r="O74" s="16"/>
      <c r="P74" s="16"/>
    </row>
    <row r="75" spans="2:16" x14ac:dyDescent="0.2">
      <c r="L75" s="16"/>
      <c r="M75" s="16"/>
      <c r="N75" s="16"/>
      <c r="O75" s="16"/>
      <c r="P75" s="16"/>
    </row>
    <row r="76" spans="2:16" x14ac:dyDescent="0.2">
      <c r="L76" s="16"/>
      <c r="M76" s="16"/>
      <c r="N76" s="16"/>
      <c r="O76" s="16"/>
      <c r="P76" s="16"/>
    </row>
    <row r="77" spans="2:16" x14ac:dyDescent="0.2">
      <c r="L77" s="16"/>
      <c r="M77" s="16"/>
      <c r="N77" s="16"/>
      <c r="O77" s="16"/>
      <c r="P77" s="16"/>
    </row>
    <row r="78" spans="2:16" x14ac:dyDescent="0.2">
      <c r="L78" s="16"/>
      <c r="M78" s="16"/>
      <c r="N78" s="16"/>
      <c r="O78" s="16"/>
      <c r="P78" s="16"/>
    </row>
    <row r="79" spans="2:16" x14ac:dyDescent="0.2">
      <c r="L79" s="16"/>
      <c r="M79" s="16"/>
      <c r="N79" s="16"/>
      <c r="O79" s="16"/>
      <c r="P79" s="16"/>
    </row>
    <row r="80" spans="2:16" x14ac:dyDescent="0.2">
      <c r="L80" s="16"/>
      <c r="M80" s="16"/>
      <c r="N80" s="16"/>
      <c r="O80" s="16"/>
      <c r="P80" s="16"/>
    </row>
    <row r="81" spans="12:16" x14ac:dyDescent="0.2">
      <c r="L81" s="16"/>
      <c r="M81" s="16"/>
      <c r="N81" s="16"/>
      <c r="O81" s="16"/>
      <c r="P81" s="16"/>
    </row>
    <row r="82" spans="12:16" x14ac:dyDescent="0.2">
      <c r="L82" s="16"/>
      <c r="M82" s="16"/>
      <c r="N82" s="16"/>
      <c r="O82" s="16"/>
      <c r="P82" s="16"/>
    </row>
    <row r="83" spans="12:16" x14ac:dyDescent="0.2">
      <c r="L83" s="16"/>
      <c r="M83" s="16"/>
      <c r="N83" s="16"/>
      <c r="O83" s="16"/>
      <c r="P83" s="16"/>
    </row>
    <row r="84" spans="12:16" x14ac:dyDescent="0.2">
      <c r="L84" s="16"/>
      <c r="M84" s="16"/>
      <c r="N84" s="16"/>
      <c r="O84" s="16"/>
      <c r="P84" s="16"/>
    </row>
    <row r="85" spans="12:16" x14ac:dyDescent="0.2">
      <c r="L85" s="16"/>
      <c r="M85" s="16"/>
      <c r="N85" s="16"/>
      <c r="O85" s="16"/>
      <c r="P85" s="16"/>
    </row>
    <row r="86" spans="12:16" x14ac:dyDescent="0.2">
      <c r="L86" s="16"/>
      <c r="M86" s="16"/>
      <c r="N86" s="16"/>
      <c r="O86" s="16"/>
      <c r="P86" s="16"/>
    </row>
    <row r="87" spans="12:16" x14ac:dyDescent="0.2">
      <c r="L87" s="16"/>
      <c r="M87" s="16"/>
      <c r="N87" s="16"/>
      <c r="O87" s="16"/>
      <c r="P87" s="16"/>
    </row>
    <row r="88" spans="12:16" x14ac:dyDescent="0.2">
      <c r="L88" s="16"/>
      <c r="M88" s="16"/>
      <c r="N88" s="16"/>
      <c r="O88" s="16"/>
      <c r="P88" s="16"/>
    </row>
    <row r="89" spans="12:16" x14ac:dyDescent="0.2">
      <c r="L89" s="16"/>
      <c r="M89" s="16"/>
      <c r="N89" s="16"/>
      <c r="O89" s="16"/>
      <c r="P89" s="16"/>
    </row>
    <row r="90" spans="12:16" x14ac:dyDescent="0.2">
      <c r="L90" s="16"/>
      <c r="M90" s="16"/>
      <c r="N90" s="16"/>
      <c r="O90" s="16"/>
      <c r="P90" s="16"/>
    </row>
    <row r="91" spans="12:16" x14ac:dyDescent="0.2">
      <c r="L91" s="16"/>
      <c r="M91" s="16"/>
      <c r="N91" s="16"/>
      <c r="O91" s="16"/>
      <c r="P91" s="16"/>
    </row>
    <row r="92" spans="12:16" x14ac:dyDescent="0.2">
      <c r="L92" s="16"/>
      <c r="M92" s="16"/>
      <c r="N92" s="16"/>
      <c r="O92" s="16"/>
      <c r="P92" s="16"/>
    </row>
    <row r="93" spans="12:16" x14ac:dyDescent="0.2">
      <c r="L93" s="16"/>
      <c r="M93" s="16"/>
      <c r="N93" s="16"/>
      <c r="O93" s="16"/>
      <c r="P93" s="16"/>
    </row>
    <row r="94" spans="12:16" x14ac:dyDescent="0.2">
      <c r="L94" s="16"/>
      <c r="M94" s="16"/>
      <c r="N94" s="16"/>
      <c r="O94" s="16"/>
      <c r="P94" s="16"/>
    </row>
    <row r="95" spans="12:16" x14ac:dyDescent="0.2">
      <c r="L95" s="16"/>
      <c r="M95" s="16"/>
      <c r="N95" s="16"/>
      <c r="O95" s="16"/>
      <c r="P95" s="16"/>
    </row>
    <row r="96" spans="12:16" x14ac:dyDescent="0.2">
      <c r="L96" s="16"/>
      <c r="M96" s="16"/>
      <c r="N96" s="16"/>
      <c r="O96" s="16"/>
      <c r="P96" s="16"/>
    </row>
    <row r="97" spans="12:16" x14ac:dyDescent="0.2">
      <c r="L97" s="16"/>
      <c r="M97" s="16"/>
      <c r="N97" s="16"/>
      <c r="O97" s="16"/>
      <c r="P97" s="16"/>
    </row>
    <row r="98" spans="12:16" x14ac:dyDescent="0.2">
      <c r="L98" s="16"/>
      <c r="M98" s="16"/>
      <c r="N98" s="16"/>
      <c r="O98" s="16"/>
      <c r="P98" s="16"/>
    </row>
    <row r="99" spans="12:16" x14ac:dyDescent="0.2">
      <c r="L99" s="16"/>
      <c r="M99" s="16"/>
      <c r="N99" s="16"/>
      <c r="O99" s="16"/>
      <c r="P99" s="16"/>
    </row>
    <row r="100" spans="12:16" x14ac:dyDescent="0.2">
      <c r="L100" s="16"/>
      <c r="M100" s="16"/>
      <c r="N100" s="16"/>
      <c r="O100" s="16"/>
      <c r="P100" s="16"/>
    </row>
    <row r="101" spans="12:16" x14ac:dyDescent="0.2">
      <c r="L101" s="16"/>
      <c r="M101" s="16"/>
      <c r="N101" s="16"/>
      <c r="O101" s="16"/>
      <c r="P101" s="16"/>
    </row>
    <row r="102" spans="12:16" x14ac:dyDescent="0.2">
      <c r="L102" s="16"/>
      <c r="M102" s="16"/>
      <c r="N102" s="16"/>
      <c r="O102" s="16"/>
      <c r="P102" s="16"/>
    </row>
    <row r="103" spans="12:16" x14ac:dyDescent="0.2">
      <c r="L103" s="16"/>
      <c r="M103" s="16"/>
      <c r="N103" s="16"/>
      <c r="O103" s="16"/>
      <c r="P103" s="16"/>
    </row>
    <row r="104" spans="12:16" x14ac:dyDescent="0.2">
      <c r="L104" s="16"/>
      <c r="M104" s="16"/>
      <c r="N104" s="16"/>
      <c r="O104" s="16"/>
      <c r="P104" s="16"/>
    </row>
    <row r="105" spans="12:16" x14ac:dyDescent="0.2">
      <c r="L105" s="16"/>
      <c r="M105" s="16"/>
      <c r="N105" s="16"/>
      <c r="O105" s="16"/>
      <c r="P105" s="16"/>
    </row>
    <row r="106" spans="12:16" x14ac:dyDescent="0.2">
      <c r="L106" s="16"/>
      <c r="M106" s="16"/>
      <c r="N106" s="16"/>
      <c r="O106" s="16"/>
      <c r="P106" s="16"/>
    </row>
    <row r="107" spans="12:16" x14ac:dyDescent="0.2">
      <c r="L107" s="16"/>
      <c r="M107" s="16"/>
      <c r="N107" s="16"/>
      <c r="O107" s="16"/>
      <c r="P107" s="16"/>
    </row>
    <row r="108" spans="12:16" x14ac:dyDescent="0.2">
      <c r="L108" s="16"/>
      <c r="M108" s="16"/>
      <c r="N108" s="16"/>
      <c r="O108" s="16"/>
      <c r="P108" s="16"/>
    </row>
    <row r="109" spans="12:16" x14ac:dyDescent="0.2">
      <c r="L109" s="16"/>
      <c r="M109" s="16"/>
      <c r="N109" s="16"/>
      <c r="O109" s="16"/>
      <c r="P109" s="16"/>
    </row>
    <row r="110" spans="12:16" x14ac:dyDescent="0.2">
      <c r="L110" s="16"/>
      <c r="M110" s="16"/>
      <c r="N110" s="16"/>
      <c r="O110" s="16"/>
      <c r="P110" s="16"/>
    </row>
    <row r="111" spans="12:16" x14ac:dyDescent="0.2">
      <c r="L111" s="16"/>
      <c r="M111" s="16"/>
      <c r="N111" s="16"/>
      <c r="O111" s="16"/>
      <c r="P111" s="16"/>
    </row>
    <row r="112" spans="12:16" x14ac:dyDescent="0.2">
      <c r="L112" s="16"/>
      <c r="M112" s="16"/>
      <c r="N112" s="16"/>
      <c r="O112" s="16"/>
      <c r="P112" s="16"/>
    </row>
    <row r="113" spans="12:16" x14ac:dyDescent="0.2">
      <c r="L113" s="16"/>
      <c r="M113" s="16"/>
      <c r="N113" s="16"/>
      <c r="O113" s="16"/>
      <c r="P113" s="16"/>
    </row>
    <row r="114" spans="12:16" x14ac:dyDescent="0.2">
      <c r="L114" s="16"/>
      <c r="M114" s="16"/>
      <c r="N114" s="16"/>
      <c r="O114" s="16"/>
      <c r="P114" s="16"/>
    </row>
    <row r="115" spans="12:16" x14ac:dyDescent="0.2">
      <c r="L115" s="16"/>
      <c r="M115" s="16"/>
      <c r="N115" s="16"/>
      <c r="O115" s="16"/>
      <c r="P115" s="16"/>
    </row>
    <row r="116" spans="12:16" x14ac:dyDescent="0.2">
      <c r="L116" s="16"/>
      <c r="M116" s="16"/>
      <c r="N116" s="16"/>
      <c r="O116" s="16"/>
      <c r="P116" s="16"/>
    </row>
    <row r="117" spans="12:16" x14ac:dyDescent="0.2">
      <c r="L117" s="16"/>
      <c r="M117" s="16"/>
      <c r="N117" s="16"/>
      <c r="O117" s="16"/>
      <c r="P117" s="16"/>
    </row>
    <row r="118" spans="12:16" x14ac:dyDescent="0.2">
      <c r="L118" s="16"/>
      <c r="M118" s="16"/>
      <c r="N118" s="16"/>
      <c r="O118" s="16"/>
      <c r="P118" s="16"/>
    </row>
    <row r="119" spans="12:16" x14ac:dyDescent="0.2">
      <c r="L119" s="16"/>
      <c r="M119" s="16"/>
      <c r="N119" s="16"/>
      <c r="O119" s="16"/>
      <c r="P119" s="16"/>
    </row>
    <row r="120" spans="12:16" x14ac:dyDescent="0.2">
      <c r="L120" s="16"/>
      <c r="M120" s="16"/>
      <c r="N120" s="16"/>
      <c r="O120" s="16"/>
      <c r="P120" s="16"/>
    </row>
    <row r="121" spans="12:16" x14ac:dyDescent="0.2">
      <c r="L121" s="16"/>
      <c r="M121" s="16"/>
      <c r="N121" s="16"/>
      <c r="O121" s="16"/>
      <c r="P121" s="16"/>
    </row>
    <row r="122" spans="12:16" x14ac:dyDescent="0.2">
      <c r="L122" s="16"/>
      <c r="M122" s="16"/>
      <c r="N122" s="16"/>
      <c r="O122" s="16"/>
      <c r="P122" s="16"/>
    </row>
    <row r="123" spans="12:16" x14ac:dyDescent="0.2">
      <c r="L123" s="16"/>
      <c r="M123" s="16"/>
      <c r="N123" s="16"/>
      <c r="O123" s="16"/>
      <c r="P123" s="16"/>
    </row>
    <row r="124" spans="12:16" x14ac:dyDescent="0.2">
      <c r="L124" s="16"/>
      <c r="M124" s="16"/>
      <c r="N124" s="16"/>
      <c r="O124" s="16"/>
      <c r="P124" s="16"/>
    </row>
    <row r="125" spans="12:16" x14ac:dyDescent="0.2">
      <c r="L125" s="16"/>
      <c r="M125" s="16"/>
      <c r="N125" s="16"/>
      <c r="O125" s="16"/>
      <c r="P125" s="16"/>
    </row>
    <row r="126" spans="12:16" x14ac:dyDescent="0.2">
      <c r="L126" s="16"/>
      <c r="M126" s="16"/>
      <c r="N126" s="16"/>
      <c r="O126" s="16"/>
      <c r="P126" s="16"/>
    </row>
    <row r="127" spans="12:16" x14ac:dyDescent="0.2">
      <c r="L127" s="16"/>
      <c r="M127" s="16"/>
      <c r="N127" s="16"/>
      <c r="O127" s="16"/>
      <c r="P127" s="16"/>
    </row>
    <row r="128" spans="12:16" x14ac:dyDescent="0.2">
      <c r="L128" s="16"/>
      <c r="M128" s="16"/>
      <c r="N128" s="16"/>
      <c r="O128" s="16"/>
      <c r="P128" s="16"/>
    </row>
    <row r="129" spans="12:16" x14ac:dyDescent="0.2">
      <c r="L129" s="16"/>
      <c r="M129" s="16"/>
      <c r="N129" s="16"/>
      <c r="O129" s="16"/>
      <c r="P129" s="16"/>
    </row>
    <row r="130" spans="12:16" x14ac:dyDescent="0.2">
      <c r="L130" s="16"/>
      <c r="M130" s="16"/>
      <c r="N130" s="16"/>
      <c r="O130" s="16"/>
      <c r="P130" s="16"/>
    </row>
    <row r="131" spans="12:16" x14ac:dyDescent="0.2">
      <c r="L131" s="16"/>
      <c r="M131" s="16"/>
      <c r="N131" s="16"/>
      <c r="O131" s="16"/>
      <c r="P131" s="16"/>
    </row>
    <row r="132" spans="12:16" x14ac:dyDescent="0.2">
      <c r="L132" s="16"/>
      <c r="M132" s="16"/>
      <c r="N132" s="16"/>
      <c r="O132" s="16"/>
      <c r="P132" s="16"/>
    </row>
    <row r="133" spans="12:16" x14ac:dyDescent="0.2">
      <c r="L133" s="16"/>
      <c r="M133" s="16"/>
      <c r="N133" s="16"/>
      <c r="O133" s="16"/>
      <c r="P133" s="16"/>
    </row>
    <row r="134" spans="12:16" x14ac:dyDescent="0.2">
      <c r="L134" s="16"/>
      <c r="M134" s="16"/>
      <c r="N134" s="16"/>
      <c r="O134" s="16"/>
      <c r="P134" s="16"/>
    </row>
    <row r="135" spans="12:16" x14ac:dyDescent="0.2">
      <c r="L135" s="16"/>
      <c r="M135" s="16"/>
      <c r="N135" s="16"/>
      <c r="O135" s="16"/>
      <c r="P135" s="16"/>
    </row>
    <row r="136" spans="12:16" x14ac:dyDescent="0.2">
      <c r="L136" s="16"/>
      <c r="M136" s="16"/>
      <c r="N136" s="16"/>
      <c r="O136" s="16"/>
      <c r="P136" s="16"/>
    </row>
    <row r="137" spans="12:16" x14ac:dyDescent="0.2">
      <c r="L137" s="16"/>
      <c r="M137" s="16"/>
      <c r="N137" s="16"/>
      <c r="O137" s="16"/>
      <c r="P137" s="16"/>
    </row>
    <row r="138" spans="12:16" x14ac:dyDescent="0.2">
      <c r="L138" s="16"/>
      <c r="M138" s="16"/>
      <c r="N138" s="16"/>
      <c r="O138" s="16"/>
      <c r="P138" s="16"/>
    </row>
    <row r="139" spans="12:16" x14ac:dyDescent="0.2">
      <c r="L139" s="16"/>
      <c r="M139" s="16"/>
      <c r="N139" s="16"/>
      <c r="O139" s="16"/>
      <c r="P139" s="16"/>
    </row>
    <row r="140" spans="12:16" x14ac:dyDescent="0.2">
      <c r="L140" s="16"/>
      <c r="M140" s="16"/>
      <c r="N140" s="16"/>
      <c r="O140" s="16"/>
      <c r="P140" s="16"/>
    </row>
    <row r="141" spans="12:16" x14ac:dyDescent="0.2">
      <c r="L141" s="16"/>
      <c r="M141" s="16"/>
      <c r="N141" s="16"/>
      <c r="O141" s="16"/>
      <c r="P141" s="16"/>
    </row>
    <row r="142" spans="12:16" x14ac:dyDescent="0.2">
      <c r="L142" s="16"/>
      <c r="M142" s="16"/>
      <c r="N142" s="16"/>
      <c r="O142" s="16"/>
      <c r="P142" s="16"/>
    </row>
    <row r="143" spans="12:16" x14ac:dyDescent="0.2">
      <c r="L143" s="16"/>
      <c r="M143" s="16"/>
      <c r="N143" s="16"/>
      <c r="O143" s="16"/>
      <c r="P143" s="16"/>
    </row>
    <row r="144" spans="12:16" x14ac:dyDescent="0.2">
      <c r="L144" s="16"/>
      <c r="M144" s="16"/>
      <c r="N144" s="16"/>
      <c r="O144" s="16"/>
      <c r="P144" s="16"/>
    </row>
    <row r="145" spans="12:16" x14ac:dyDescent="0.2">
      <c r="L145" s="16"/>
      <c r="M145" s="16"/>
      <c r="N145" s="16"/>
      <c r="O145" s="16"/>
      <c r="P145" s="16"/>
    </row>
    <row r="146" spans="12:16" x14ac:dyDescent="0.2">
      <c r="L146" s="16"/>
      <c r="M146" s="16"/>
      <c r="N146" s="16"/>
      <c r="O146" s="16"/>
      <c r="P146" s="16"/>
    </row>
    <row r="147" spans="12:16" x14ac:dyDescent="0.2">
      <c r="L147" s="16"/>
      <c r="M147" s="16"/>
      <c r="N147" s="16"/>
      <c r="O147" s="16"/>
      <c r="P147" s="16"/>
    </row>
    <row r="148" spans="12:16" x14ac:dyDescent="0.2">
      <c r="L148" s="16"/>
      <c r="M148" s="16"/>
      <c r="N148" s="16"/>
      <c r="O148" s="16"/>
      <c r="P148" s="16"/>
    </row>
    <row r="149" spans="12:16" x14ac:dyDescent="0.2">
      <c r="L149" s="16"/>
      <c r="M149" s="16"/>
      <c r="N149" s="16"/>
      <c r="O149" s="16"/>
      <c r="P149" s="16"/>
    </row>
    <row r="150" spans="12:16" x14ac:dyDescent="0.2">
      <c r="L150" s="16"/>
      <c r="M150" s="16"/>
      <c r="N150" s="16"/>
      <c r="O150" s="16"/>
      <c r="P150" s="16"/>
    </row>
    <row r="151" spans="12:16" x14ac:dyDescent="0.2">
      <c r="L151" s="16"/>
      <c r="M151" s="16"/>
      <c r="N151" s="16"/>
      <c r="O151" s="16"/>
      <c r="P151" s="16"/>
    </row>
    <row r="152" spans="12:16" x14ac:dyDescent="0.2">
      <c r="L152" s="16"/>
      <c r="M152" s="16"/>
      <c r="N152" s="16"/>
      <c r="O152" s="16"/>
      <c r="P152" s="16"/>
    </row>
    <row r="153" spans="12:16" x14ac:dyDescent="0.2">
      <c r="L153" s="16"/>
      <c r="M153" s="16"/>
      <c r="N153" s="16"/>
      <c r="O153" s="16"/>
      <c r="P153" s="16"/>
    </row>
    <row r="154" spans="12:16" x14ac:dyDescent="0.2">
      <c r="L154" s="16"/>
      <c r="M154" s="16"/>
      <c r="N154" s="16"/>
      <c r="O154" s="16"/>
      <c r="P154" s="16"/>
    </row>
    <row r="155" spans="12:16" x14ac:dyDescent="0.2">
      <c r="L155" s="16"/>
      <c r="M155" s="16"/>
      <c r="N155" s="16"/>
      <c r="O155" s="16"/>
      <c r="P155" s="16"/>
    </row>
    <row r="156" spans="12:16" x14ac:dyDescent="0.2">
      <c r="L156" s="16"/>
      <c r="M156" s="16"/>
      <c r="N156" s="16"/>
      <c r="O156" s="16"/>
      <c r="P156" s="16"/>
    </row>
    <row r="157" spans="12:16" x14ac:dyDescent="0.2">
      <c r="L157" s="16"/>
      <c r="M157" s="16"/>
      <c r="N157" s="16"/>
      <c r="O157" s="16"/>
      <c r="P157" s="16"/>
    </row>
    <row r="158" spans="12:16" x14ac:dyDescent="0.2">
      <c r="L158" s="16"/>
      <c r="M158" s="16"/>
      <c r="N158" s="16"/>
      <c r="O158" s="16"/>
      <c r="P158" s="16"/>
    </row>
    <row r="159" spans="12:16" x14ac:dyDescent="0.2">
      <c r="L159" s="16"/>
      <c r="M159" s="16"/>
      <c r="N159" s="16"/>
      <c r="O159" s="16"/>
      <c r="P159" s="16"/>
    </row>
    <row r="160" spans="12:16" x14ac:dyDescent="0.2">
      <c r="L160" s="16"/>
      <c r="M160" s="16"/>
      <c r="N160" s="16"/>
      <c r="O160" s="16"/>
      <c r="P160" s="16"/>
    </row>
    <row r="161" spans="12:16" x14ac:dyDescent="0.2">
      <c r="L161" s="16"/>
      <c r="M161" s="16"/>
      <c r="N161" s="16"/>
      <c r="O161" s="16"/>
      <c r="P161" s="16"/>
    </row>
    <row r="162" spans="12:16" x14ac:dyDescent="0.2">
      <c r="L162" s="16"/>
      <c r="M162" s="16"/>
      <c r="N162" s="16"/>
      <c r="O162" s="16"/>
      <c r="P162" s="16"/>
    </row>
    <row r="163" spans="12:16" x14ac:dyDescent="0.2">
      <c r="L163" s="16"/>
      <c r="M163" s="16"/>
      <c r="N163" s="16"/>
      <c r="O163" s="16"/>
      <c r="P163" s="16"/>
    </row>
    <row r="164" spans="12:16" x14ac:dyDescent="0.2">
      <c r="L164" s="16"/>
      <c r="M164" s="16"/>
      <c r="N164" s="16"/>
      <c r="O164" s="16"/>
      <c r="P164" s="16"/>
    </row>
    <row r="165" spans="12:16" x14ac:dyDescent="0.2">
      <c r="L165" s="16"/>
      <c r="M165" s="16"/>
      <c r="N165" s="16"/>
      <c r="O165" s="16"/>
      <c r="P165" s="16"/>
    </row>
    <row r="166" spans="12:16" x14ac:dyDescent="0.2">
      <c r="L166" s="16"/>
      <c r="M166" s="16"/>
      <c r="N166" s="16"/>
      <c r="O166" s="16"/>
      <c r="P166" s="16"/>
    </row>
    <row r="167" spans="12:16" x14ac:dyDescent="0.2">
      <c r="L167" s="16"/>
      <c r="M167" s="16"/>
      <c r="N167" s="16"/>
      <c r="O167" s="16"/>
      <c r="P167" s="16"/>
    </row>
    <row r="168" spans="12:16" x14ac:dyDescent="0.2">
      <c r="L168" s="16"/>
      <c r="M168" s="16"/>
      <c r="N168" s="16"/>
      <c r="O168" s="16"/>
      <c r="P168" s="16"/>
    </row>
    <row r="169" spans="12:16" x14ac:dyDescent="0.2">
      <c r="L169" s="16"/>
      <c r="M169" s="16"/>
      <c r="N169" s="16"/>
      <c r="O169" s="16"/>
      <c r="P169" s="16"/>
    </row>
    <row r="170" spans="12:16" x14ac:dyDescent="0.2">
      <c r="L170" s="16"/>
      <c r="M170" s="16"/>
      <c r="N170" s="16"/>
      <c r="O170" s="16"/>
      <c r="P170" s="16"/>
    </row>
    <row r="171" spans="12:16" x14ac:dyDescent="0.2">
      <c r="L171" s="16"/>
      <c r="M171" s="16"/>
      <c r="N171" s="16"/>
      <c r="O171" s="16"/>
      <c r="P171" s="16"/>
    </row>
    <row r="172" spans="12:16" x14ac:dyDescent="0.2">
      <c r="L172" s="16"/>
      <c r="M172" s="16"/>
      <c r="N172" s="16"/>
      <c r="O172" s="16"/>
      <c r="P172" s="16"/>
    </row>
    <row r="173" spans="12:16" x14ac:dyDescent="0.2">
      <c r="L173" s="16"/>
      <c r="M173" s="16"/>
      <c r="N173" s="16"/>
      <c r="O173" s="16"/>
      <c r="P173" s="16"/>
    </row>
    <row r="174" spans="12:16" x14ac:dyDescent="0.2">
      <c r="L174" s="16"/>
      <c r="M174" s="16"/>
      <c r="N174" s="16"/>
      <c r="O174" s="16"/>
      <c r="P174" s="16"/>
    </row>
    <row r="175" spans="12:16" x14ac:dyDescent="0.2">
      <c r="L175" s="16"/>
      <c r="M175" s="16"/>
      <c r="N175" s="16"/>
      <c r="O175" s="16"/>
      <c r="P175" s="16"/>
    </row>
    <row r="176" spans="12:16" x14ac:dyDescent="0.2">
      <c r="L176" s="16"/>
      <c r="M176" s="16"/>
      <c r="N176" s="16"/>
      <c r="O176" s="16"/>
      <c r="P176" s="16"/>
    </row>
    <row r="177" spans="12:16" x14ac:dyDescent="0.2">
      <c r="L177" s="16"/>
      <c r="M177" s="16"/>
      <c r="N177" s="16"/>
      <c r="O177" s="16"/>
      <c r="P177" s="16"/>
    </row>
    <row r="178" spans="12:16" x14ac:dyDescent="0.2">
      <c r="L178" s="16"/>
      <c r="M178" s="16"/>
      <c r="N178" s="16"/>
      <c r="O178" s="16"/>
      <c r="P178" s="16"/>
    </row>
    <row r="179" spans="12:16" x14ac:dyDescent="0.2">
      <c r="L179" s="16"/>
      <c r="M179" s="16"/>
      <c r="N179" s="16"/>
      <c r="O179" s="16"/>
      <c r="P179" s="16"/>
    </row>
    <row r="180" spans="12:16" x14ac:dyDescent="0.2">
      <c r="L180" s="16"/>
      <c r="M180" s="16"/>
      <c r="N180" s="16"/>
      <c r="O180" s="16"/>
      <c r="P180" s="16"/>
    </row>
    <row r="181" spans="12:16" x14ac:dyDescent="0.2">
      <c r="L181" s="16"/>
      <c r="M181" s="16"/>
      <c r="N181" s="16"/>
      <c r="O181" s="16"/>
      <c r="P181" s="16"/>
    </row>
    <row r="182" spans="12:16" x14ac:dyDescent="0.2">
      <c r="L182" s="16"/>
      <c r="M182" s="16"/>
      <c r="N182" s="16"/>
      <c r="O182" s="16"/>
      <c r="P182" s="16"/>
    </row>
    <row r="183" spans="12:16" x14ac:dyDescent="0.2">
      <c r="L183" s="16"/>
      <c r="M183" s="16"/>
      <c r="N183" s="16"/>
      <c r="O183" s="16"/>
      <c r="P183" s="16"/>
    </row>
    <row r="184" spans="12:16" x14ac:dyDescent="0.2">
      <c r="L184" s="16"/>
      <c r="M184" s="16"/>
      <c r="N184" s="16"/>
      <c r="O184" s="16"/>
      <c r="P184" s="16"/>
    </row>
    <row r="185" spans="12:16" x14ac:dyDescent="0.2">
      <c r="L185" s="16"/>
      <c r="M185" s="16"/>
      <c r="N185" s="16"/>
      <c r="O185" s="16"/>
      <c r="P185" s="16"/>
    </row>
    <row r="186" spans="12:16" x14ac:dyDescent="0.2">
      <c r="L186" s="16"/>
      <c r="M186" s="16"/>
      <c r="N186" s="16"/>
      <c r="O186" s="16"/>
      <c r="P186" s="16"/>
    </row>
    <row r="187" spans="12:16" x14ac:dyDescent="0.2">
      <c r="L187" s="16"/>
      <c r="M187" s="16"/>
      <c r="N187" s="16"/>
      <c r="O187" s="16"/>
      <c r="P187" s="16"/>
    </row>
    <row r="188" spans="12:16" x14ac:dyDescent="0.2">
      <c r="L188" s="16"/>
      <c r="M188" s="16"/>
      <c r="N188" s="16"/>
      <c r="O188" s="16"/>
      <c r="P188" s="16"/>
    </row>
    <row r="189" spans="12:16" x14ac:dyDescent="0.2">
      <c r="L189" s="16"/>
      <c r="M189" s="16"/>
      <c r="N189" s="16"/>
      <c r="O189" s="16"/>
      <c r="P189" s="16"/>
    </row>
    <row r="190" spans="12:16" x14ac:dyDescent="0.2">
      <c r="L190" s="16"/>
      <c r="M190" s="16"/>
      <c r="N190" s="16"/>
      <c r="O190" s="16"/>
      <c r="P190" s="16"/>
    </row>
    <row r="191" spans="12:16" x14ac:dyDescent="0.2">
      <c r="L191" s="16"/>
      <c r="M191" s="16"/>
      <c r="N191" s="16"/>
      <c r="O191" s="16"/>
      <c r="P191" s="16"/>
    </row>
    <row r="192" spans="12:16" x14ac:dyDescent="0.2">
      <c r="L192" s="16"/>
      <c r="M192" s="16"/>
      <c r="N192" s="16"/>
      <c r="O192" s="16"/>
      <c r="P192" s="16"/>
    </row>
    <row r="193" spans="12:16" x14ac:dyDescent="0.2">
      <c r="L193" s="16"/>
      <c r="M193" s="16"/>
      <c r="N193" s="16"/>
      <c r="O193" s="16"/>
      <c r="P193" s="16"/>
    </row>
    <row r="194" spans="12:16" x14ac:dyDescent="0.2">
      <c r="L194" s="16"/>
      <c r="M194" s="16"/>
      <c r="N194" s="16"/>
      <c r="O194" s="16"/>
      <c r="P194" s="16"/>
    </row>
    <row r="195" spans="12:16" x14ac:dyDescent="0.2">
      <c r="L195" s="16"/>
      <c r="M195" s="16"/>
      <c r="N195" s="16"/>
      <c r="O195" s="16"/>
      <c r="P195" s="16"/>
    </row>
    <row r="196" spans="12:16" x14ac:dyDescent="0.2">
      <c r="L196" s="16"/>
      <c r="M196" s="16"/>
      <c r="N196" s="16"/>
      <c r="O196" s="16"/>
      <c r="P196" s="16"/>
    </row>
    <row r="197" spans="12:16" x14ac:dyDescent="0.2">
      <c r="L197" s="16"/>
      <c r="M197" s="16"/>
      <c r="N197" s="16"/>
      <c r="O197" s="16"/>
      <c r="P197" s="16"/>
    </row>
    <row r="198" spans="12:16" x14ac:dyDescent="0.2">
      <c r="L198" s="16"/>
      <c r="M198" s="16"/>
      <c r="N198" s="16"/>
      <c r="O198" s="16"/>
      <c r="P198" s="16"/>
    </row>
    <row r="199" spans="12:16" x14ac:dyDescent="0.2">
      <c r="L199" s="16"/>
      <c r="M199" s="16"/>
      <c r="N199" s="16"/>
      <c r="O199" s="16"/>
      <c r="P199" s="16"/>
    </row>
    <row r="200" spans="12:16" x14ac:dyDescent="0.2">
      <c r="L200" s="16"/>
      <c r="M200" s="16"/>
      <c r="N200" s="16"/>
      <c r="O200" s="16"/>
      <c r="P200" s="16"/>
    </row>
    <row r="201" spans="12:16" x14ac:dyDescent="0.2">
      <c r="L201" s="16"/>
      <c r="M201" s="16"/>
      <c r="N201" s="16"/>
      <c r="O201" s="16"/>
      <c r="P201" s="16"/>
    </row>
    <row r="202" spans="12:16" x14ac:dyDescent="0.2">
      <c r="L202" s="16"/>
      <c r="M202" s="16"/>
      <c r="N202" s="16"/>
      <c r="O202" s="16"/>
      <c r="P202" s="16"/>
    </row>
    <row r="203" spans="12:16" x14ac:dyDescent="0.2">
      <c r="L203" s="16"/>
      <c r="M203" s="16"/>
      <c r="N203" s="16"/>
      <c r="O203" s="16"/>
      <c r="P203" s="16"/>
    </row>
    <row r="204" spans="12:16" x14ac:dyDescent="0.2">
      <c r="L204" s="16"/>
      <c r="M204" s="16"/>
      <c r="N204" s="16"/>
      <c r="O204" s="16"/>
      <c r="P204" s="16"/>
    </row>
    <row r="205" spans="12:16" x14ac:dyDescent="0.2">
      <c r="L205" s="16"/>
      <c r="M205" s="16"/>
      <c r="N205" s="16"/>
      <c r="O205" s="16"/>
      <c r="P205" s="16"/>
    </row>
    <row r="206" spans="12:16" x14ac:dyDescent="0.2">
      <c r="L206" s="16"/>
      <c r="M206" s="16"/>
      <c r="N206" s="16"/>
      <c r="O206" s="16"/>
      <c r="P206" s="16"/>
    </row>
    <row r="207" spans="12:16" x14ac:dyDescent="0.2">
      <c r="L207" s="16"/>
      <c r="M207" s="16"/>
      <c r="N207" s="16"/>
      <c r="O207" s="16"/>
      <c r="P207" s="16"/>
    </row>
    <row r="208" spans="12:16" x14ac:dyDescent="0.2">
      <c r="L208" s="16"/>
      <c r="M208" s="16"/>
      <c r="N208" s="16"/>
      <c r="O208" s="16"/>
      <c r="P208" s="16"/>
    </row>
    <row r="209" spans="12:16" x14ac:dyDescent="0.2">
      <c r="L209" s="16"/>
      <c r="M209" s="16"/>
      <c r="N209" s="16"/>
      <c r="O209" s="16"/>
      <c r="P209" s="16"/>
    </row>
    <row r="210" spans="12:16" x14ac:dyDescent="0.2">
      <c r="L210" s="16"/>
      <c r="M210" s="16"/>
      <c r="N210" s="16"/>
      <c r="O210" s="16"/>
      <c r="P210" s="16"/>
    </row>
    <row r="211" spans="12:16" x14ac:dyDescent="0.2">
      <c r="L211" s="16"/>
      <c r="M211" s="16"/>
      <c r="N211" s="16"/>
      <c r="O211" s="16"/>
      <c r="P211" s="16"/>
    </row>
    <row r="212" spans="12:16" x14ac:dyDescent="0.2">
      <c r="L212" s="16"/>
      <c r="M212" s="16"/>
      <c r="N212" s="16"/>
      <c r="O212" s="16"/>
      <c r="P212" s="16"/>
    </row>
    <row r="213" spans="12:16" x14ac:dyDescent="0.2">
      <c r="L213" s="16"/>
      <c r="M213" s="16"/>
      <c r="N213" s="16"/>
      <c r="O213" s="16"/>
      <c r="P213" s="16"/>
    </row>
    <row r="214" spans="12:16" x14ac:dyDescent="0.2">
      <c r="L214" s="16"/>
      <c r="M214" s="16"/>
      <c r="N214" s="16"/>
      <c r="O214" s="16"/>
      <c r="P214" s="16"/>
    </row>
    <row r="215" spans="12:16" x14ac:dyDescent="0.2">
      <c r="L215" s="16"/>
      <c r="M215" s="16"/>
      <c r="N215" s="16"/>
      <c r="O215" s="16"/>
      <c r="P215" s="16"/>
    </row>
    <row r="216" spans="12:16" x14ac:dyDescent="0.2">
      <c r="L216" s="16"/>
      <c r="M216" s="16"/>
      <c r="N216" s="16"/>
      <c r="O216" s="16"/>
      <c r="P216" s="16"/>
    </row>
    <row r="217" spans="12:16" x14ac:dyDescent="0.2">
      <c r="L217" s="16"/>
      <c r="M217" s="16"/>
      <c r="N217" s="16"/>
      <c r="O217" s="16"/>
      <c r="P217" s="16"/>
    </row>
    <row r="218" spans="12:16" x14ac:dyDescent="0.2">
      <c r="L218" s="16"/>
      <c r="M218" s="16"/>
      <c r="N218" s="16"/>
      <c r="O218" s="16"/>
      <c r="P218" s="16"/>
    </row>
    <row r="219" spans="12:16" x14ac:dyDescent="0.2">
      <c r="L219" s="16"/>
      <c r="M219" s="16"/>
      <c r="N219" s="16"/>
      <c r="O219" s="16"/>
      <c r="P219" s="16"/>
    </row>
    <row r="220" spans="12:16" x14ac:dyDescent="0.2">
      <c r="L220" s="16"/>
      <c r="M220" s="16"/>
      <c r="N220" s="16"/>
      <c r="O220" s="16"/>
      <c r="P220" s="16"/>
    </row>
    <row r="221" spans="12:16" x14ac:dyDescent="0.2">
      <c r="L221" s="16"/>
      <c r="M221" s="16"/>
      <c r="N221" s="16"/>
      <c r="O221" s="16"/>
      <c r="P221" s="16"/>
    </row>
    <row r="222" spans="12:16" x14ac:dyDescent="0.2">
      <c r="L222" s="16"/>
      <c r="M222" s="16"/>
      <c r="N222" s="16"/>
      <c r="O222" s="16"/>
      <c r="P222" s="16"/>
    </row>
    <row r="223" spans="12:16" x14ac:dyDescent="0.2">
      <c r="L223" s="16"/>
      <c r="M223" s="16"/>
      <c r="N223" s="16"/>
      <c r="O223" s="16"/>
      <c r="P223" s="16"/>
    </row>
    <row r="224" spans="12:16" x14ac:dyDescent="0.2">
      <c r="L224" s="16"/>
      <c r="M224" s="16"/>
      <c r="N224" s="16"/>
      <c r="O224" s="16"/>
      <c r="P224" s="16"/>
    </row>
    <row r="225" spans="12:16" x14ac:dyDescent="0.2">
      <c r="L225" s="16"/>
      <c r="M225" s="16"/>
      <c r="N225" s="16"/>
      <c r="O225" s="16"/>
      <c r="P225" s="16"/>
    </row>
    <row r="226" spans="12:16" x14ac:dyDescent="0.2">
      <c r="L226" s="16"/>
      <c r="M226" s="16"/>
      <c r="N226" s="16"/>
      <c r="O226" s="16"/>
      <c r="P226" s="16"/>
    </row>
    <row r="227" spans="12:16" x14ac:dyDescent="0.2">
      <c r="L227" s="16"/>
      <c r="M227" s="16"/>
      <c r="N227" s="16"/>
      <c r="O227" s="16"/>
      <c r="P227" s="16"/>
    </row>
    <row r="228" spans="12:16" x14ac:dyDescent="0.2">
      <c r="L228" s="16"/>
      <c r="M228" s="16"/>
      <c r="N228" s="16"/>
      <c r="O228" s="16"/>
      <c r="P228" s="16"/>
    </row>
    <row r="229" spans="12:16" x14ac:dyDescent="0.2">
      <c r="L229" s="16"/>
      <c r="M229" s="16"/>
      <c r="N229" s="16"/>
      <c r="O229" s="16"/>
      <c r="P229" s="16"/>
    </row>
    <row r="230" spans="12:16" x14ac:dyDescent="0.2">
      <c r="L230" s="16"/>
      <c r="M230" s="16"/>
      <c r="N230" s="16"/>
      <c r="O230" s="16"/>
      <c r="P230" s="16"/>
    </row>
    <row r="231" spans="12:16" x14ac:dyDescent="0.2">
      <c r="L231" s="16"/>
      <c r="M231" s="16"/>
      <c r="N231" s="16"/>
      <c r="O231" s="16"/>
      <c r="P231" s="16"/>
    </row>
    <row r="232" spans="12:16" x14ac:dyDescent="0.2">
      <c r="L232" s="16"/>
      <c r="M232" s="16"/>
      <c r="N232" s="16"/>
      <c r="O232" s="16"/>
      <c r="P232" s="16"/>
    </row>
    <row r="233" spans="12:16" x14ac:dyDescent="0.2">
      <c r="L233" s="16"/>
      <c r="M233" s="16"/>
      <c r="N233" s="16"/>
      <c r="O233" s="16"/>
      <c r="P233" s="16"/>
    </row>
    <row r="234" spans="12:16" x14ac:dyDescent="0.2">
      <c r="L234" s="16"/>
      <c r="M234" s="16"/>
      <c r="N234" s="16"/>
      <c r="O234" s="16"/>
      <c r="P234" s="16"/>
    </row>
    <row r="235" spans="12:16" x14ac:dyDescent="0.2">
      <c r="L235" s="16"/>
      <c r="M235" s="16"/>
      <c r="N235" s="16"/>
      <c r="O235" s="16"/>
      <c r="P235" s="16"/>
    </row>
    <row r="236" spans="12:16" x14ac:dyDescent="0.2">
      <c r="L236" s="16"/>
      <c r="M236" s="16"/>
      <c r="N236" s="16"/>
      <c r="O236" s="16"/>
      <c r="P236" s="16"/>
    </row>
    <row r="237" spans="12:16" x14ac:dyDescent="0.2">
      <c r="L237" s="16"/>
      <c r="M237" s="16"/>
      <c r="N237" s="16"/>
      <c r="O237" s="16"/>
      <c r="P237" s="16"/>
    </row>
    <row r="238" spans="12:16" x14ac:dyDescent="0.2">
      <c r="L238" s="16"/>
      <c r="M238" s="16"/>
      <c r="N238" s="16"/>
      <c r="O238" s="16"/>
      <c r="P238" s="16"/>
    </row>
    <row r="239" spans="12:16" x14ac:dyDescent="0.2">
      <c r="L239" s="16"/>
      <c r="M239" s="16"/>
      <c r="N239" s="16"/>
      <c r="O239" s="16"/>
      <c r="P239" s="16"/>
    </row>
    <row r="240" spans="12:16" x14ac:dyDescent="0.2">
      <c r="L240" s="16"/>
      <c r="M240" s="16"/>
      <c r="N240" s="16"/>
      <c r="O240" s="16"/>
      <c r="P240" s="16"/>
    </row>
    <row r="241" spans="12:16" x14ac:dyDescent="0.2">
      <c r="L241" s="16"/>
      <c r="M241" s="16"/>
      <c r="N241" s="16"/>
      <c r="O241" s="16"/>
      <c r="P241" s="16"/>
    </row>
    <row r="242" spans="12:16" x14ac:dyDescent="0.2">
      <c r="L242" s="16"/>
      <c r="M242" s="16"/>
      <c r="N242" s="16"/>
      <c r="O242" s="16"/>
      <c r="P242" s="16"/>
    </row>
    <row r="243" spans="12:16" x14ac:dyDescent="0.2">
      <c r="L243" s="16"/>
      <c r="M243" s="16"/>
      <c r="N243" s="16"/>
      <c r="O243" s="16"/>
      <c r="P243" s="16"/>
    </row>
    <row r="244" spans="12:16" x14ac:dyDescent="0.2">
      <c r="L244" s="16"/>
      <c r="M244" s="16"/>
      <c r="N244" s="16"/>
      <c r="O244" s="16"/>
      <c r="P244" s="16"/>
    </row>
    <row r="245" spans="12:16" x14ac:dyDescent="0.2">
      <c r="L245" s="16"/>
      <c r="M245" s="16"/>
      <c r="N245" s="16"/>
      <c r="O245" s="16"/>
      <c r="P245" s="16"/>
    </row>
    <row r="246" spans="12:16" x14ac:dyDescent="0.2">
      <c r="L246" s="16"/>
      <c r="M246" s="16"/>
      <c r="N246" s="16"/>
      <c r="O246" s="16"/>
      <c r="P246" s="16"/>
    </row>
    <row r="247" spans="12:16" x14ac:dyDescent="0.2">
      <c r="L247" s="16"/>
      <c r="M247" s="16"/>
      <c r="N247" s="16"/>
      <c r="O247" s="16"/>
      <c r="P247" s="16"/>
    </row>
    <row r="248" spans="12:16" x14ac:dyDescent="0.2">
      <c r="L248" s="16"/>
      <c r="M248" s="16"/>
      <c r="N248" s="16"/>
      <c r="O248" s="16"/>
      <c r="P248" s="16"/>
    </row>
    <row r="249" spans="12:16" x14ac:dyDescent="0.2">
      <c r="L249" s="16"/>
      <c r="M249" s="16"/>
      <c r="N249" s="16"/>
      <c r="O249" s="16"/>
      <c r="P249" s="16"/>
    </row>
    <row r="250" spans="12:16" x14ac:dyDescent="0.2">
      <c r="L250" s="16"/>
      <c r="M250" s="16"/>
      <c r="N250" s="16"/>
      <c r="O250" s="16"/>
      <c r="P250" s="16"/>
    </row>
    <row r="251" spans="12:16" x14ac:dyDescent="0.2">
      <c r="L251" s="16"/>
      <c r="M251" s="16"/>
      <c r="N251" s="16"/>
      <c r="O251" s="16"/>
      <c r="P251" s="16"/>
    </row>
    <row r="252" spans="12:16" x14ac:dyDescent="0.2">
      <c r="L252" s="16"/>
      <c r="M252" s="16"/>
      <c r="N252" s="16"/>
      <c r="O252" s="16"/>
      <c r="P252" s="16"/>
    </row>
    <row r="253" spans="12:16" x14ac:dyDescent="0.2">
      <c r="L253" s="16"/>
      <c r="M253" s="16"/>
      <c r="N253" s="16"/>
      <c r="O253" s="16"/>
      <c r="P253" s="16"/>
    </row>
    <row r="254" spans="12:16" x14ac:dyDescent="0.2">
      <c r="L254" s="16"/>
      <c r="M254" s="16"/>
      <c r="N254" s="16"/>
      <c r="O254" s="16"/>
      <c r="P254" s="16"/>
    </row>
    <row r="255" spans="12:16" x14ac:dyDescent="0.2">
      <c r="L255" s="16"/>
      <c r="M255" s="16"/>
      <c r="N255" s="16"/>
      <c r="O255" s="16"/>
      <c r="P255" s="16"/>
    </row>
    <row r="256" spans="12:16" x14ac:dyDescent="0.2">
      <c r="L256" s="16"/>
      <c r="M256" s="16"/>
      <c r="N256" s="16"/>
      <c r="O256" s="16"/>
      <c r="P256" s="16"/>
    </row>
    <row r="257" spans="12:16" x14ac:dyDescent="0.2">
      <c r="L257" s="16"/>
      <c r="M257" s="16"/>
      <c r="N257" s="16"/>
      <c r="O257" s="16"/>
      <c r="P257" s="16"/>
    </row>
    <row r="258" spans="12:16" x14ac:dyDescent="0.2">
      <c r="L258" s="16"/>
      <c r="M258" s="16"/>
      <c r="N258" s="16"/>
      <c r="O258" s="16"/>
      <c r="P258" s="16"/>
    </row>
    <row r="259" spans="12:16" x14ac:dyDescent="0.2">
      <c r="L259" s="16"/>
      <c r="M259" s="16"/>
      <c r="N259" s="16"/>
      <c r="O259" s="16"/>
      <c r="P259" s="16"/>
    </row>
    <row r="260" spans="12:16" x14ac:dyDescent="0.2">
      <c r="L260" s="16"/>
      <c r="M260" s="16"/>
      <c r="N260" s="16"/>
      <c r="O260" s="16"/>
      <c r="P260" s="16"/>
    </row>
    <row r="261" spans="12:16" x14ac:dyDescent="0.2">
      <c r="L261" s="16"/>
      <c r="M261" s="16"/>
      <c r="N261" s="16"/>
      <c r="O261" s="16"/>
      <c r="P261" s="16"/>
    </row>
    <row r="262" spans="12:16" x14ac:dyDescent="0.2">
      <c r="L262" s="16"/>
      <c r="M262" s="16"/>
      <c r="N262" s="16"/>
      <c r="O262" s="16"/>
      <c r="P262" s="16"/>
    </row>
    <row r="263" spans="12:16" x14ac:dyDescent="0.2">
      <c r="L263" s="16"/>
      <c r="M263" s="16"/>
      <c r="N263" s="16"/>
      <c r="O263" s="16"/>
      <c r="P263" s="16"/>
    </row>
    <row r="264" spans="12:16" x14ac:dyDescent="0.2">
      <c r="L264" s="16"/>
      <c r="M264" s="16"/>
      <c r="N264" s="16"/>
      <c r="O264" s="16"/>
      <c r="P264" s="16"/>
    </row>
    <row r="265" spans="12:16" x14ac:dyDescent="0.2">
      <c r="L265" s="16"/>
      <c r="M265" s="16"/>
      <c r="N265" s="16"/>
      <c r="O265" s="16"/>
      <c r="P265" s="16"/>
    </row>
    <row r="266" spans="12:16" x14ac:dyDescent="0.2">
      <c r="L266" s="16"/>
      <c r="M266" s="16"/>
      <c r="N266" s="16"/>
      <c r="O266" s="16"/>
      <c r="P266" s="16"/>
    </row>
    <row r="267" spans="12:16" x14ac:dyDescent="0.2">
      <c r="L267" s="16"/>
      <c r="M267" s="16"/>
      <c r="N267" s="16"/>
      <c r="O267" s="16"/>
      <c r="P267" s="16"/>
    </row>
    <row r="268" spans="12:16" x14ac:dyDescent="0.2">
      <c r="L268" s="16"/>
      <c r="M268" s="16"/>
      <c r="N268" s="16"/>
      <c r="O268" s="16"/>
      <c r="P268" s="16"/>
    </row>
    <row r="269" spans="12:16" x14ac:dyDescent="0.2">
      <c r="L269" s="16"/>
      <c r="M269" s="16"/>
      <c r="N269" s="16"/>
      <c r="O269" s="16"/>
      <c r="P269" s="16"/>
    </row>
    <row r="270" spans="12:16" x14ac:dyDescent="0.2">
      <c r="L270" s="16"/>
      <c r="M270" s="16"/>
      <c r="N270" s="16"/>
      <c r="O270" s="16"/>
      <c r="P270" s="16"/>
    </row>
    <row r="271" spans="12:16" x14ac:dyDescent="0.2">
      <c r="L271" s="16"/>
      <c r="M271" s="16"/>
      <c r="N271" s="16"/>
      <c r="O271" s="16"/>
      <c r="P271" s="16"/>
    </row>
    <row r="272" spans="12:16" x14ac:dyDescent="0.2">
      <c r="L272" s="16"/>
      <c r="M272" s="16"/>
      <c r="N272" s="16"/>
      <c r="O272" s="16"/>
      <c r="P272" s="16"/>
    </row>
    <row r="273" spans="12:16" x14ac:dyDescent="0.2">
      <c r="L273" s="16"/>
      <c r="M273" s="16"/>
      <c r="N273" s="16"/>
      <c r="O273" s="16"/>
      <c r="P273" s="16"/>
    </row>
    <row r="274" spans="12:16" x14ac:dyDescent="0.2">
      <c r="L274" s="16"/>
      <c r="M274" s="16"/>
      <c r="N274" s="16"/>
      <c r="O274" s="16"/>
      <c r="P274" s="16"/>
    </row>
    <row r="275" spans="12:16" x14ac:dyDescent="0.2">
      <c r="L275" s="16"/>
      <c r="M275" s="16"/>
      <c r="N275" s="16"/>
      <c r="O275" s="16"/>
      <c r="P275" s="16"/>
    </row>
    <row r="276" spans="12:16" x14ac:dyDescent="0.2">
      <c r="L276" s="16"/>
      <c r="M276" s="16"/>
      <c r="N276" s="16"/>
      <c r="O276" s="16"/>
      <c r="P276" s="16"/>
    </row>
    <row r="277" spans="12:16" x14ac:dyDescent="0.2">
      <c r="L277" s="16"/>
      <c r="M277" s="16"/>
      <c r="N277" s="16"/>
      <c r="O277" s="16"/>
      <c r="P277" s="16"/>
    </row>
    <row r="278" spans="12:16" x14ac:dyDescent="0.2">
      <c r="L278" s="16"/>
      <c r="M278" s="16"/>
      <c r="N278" s="16"/>
      <c r="O278" s="16"/>
      <c r="P278" s="16"/>
    </row>
    <row r="279" spans="12:16" x14ac:dyDescent="0.2">
      <c r="L279" s="16"/>
      <c r="M279" s="16"/>
      <c r="N279" s="16"/>
      <c r="O279" s="16"/>
      <c r="P279" s="16"/>
    </row>
    <row r="280" spans="12:16" x14ac:dyDescent="0.2">
      <c r="L280" s="16"/>
      <c r="M280" s="16"/>
      <c r="N280" s="16"/>
      <c r="O280" s="16"/>
      <c r="P280" s="16"/>
    </row>
    <row r="281" spans="12:16" x14ac:dyDescent="0.2">
      <c r="L281" s="16"/>
      <c r="M281" s="16"/>
      <c r="N281" s="16"/>
      <c r="O281" s="16"/>
      <c r="P281" s="16"/>
    </row>
    <row r="282" spans="12:16" x14ac:dyDescent="0.2">
      <c r="L282" s="16"/>
      <c r="M282" s="16"/>
      <c r="N282" s="16"/>
      <c r="O282" s="16"/>
      <c r="P282" s="16"/>
    </row>
    <row r="283" spans="12:16" x14ac:dyDescent="0.2">
      <c r="L283" s="16"/>
      <c r="M283" s="16"/>
      <c r="N283" s="16"/>
      <c r="O283" s="16"/>
      <c r="P283" s="16"/>
    </row>
    <row r="284" spans="12:16" x14ac:dyDescent="0.2">
      <c r="L284" s="16"/>
      <c r="M284" s="16"/>
      <c r="N284" s="16"/>
      <c r="O284" s="16"/>
      <c r="P284" s="16"/>
    </row>
    <row r="285" spans="12:16" x14ac:dyDescent="0.2">
      <c r="L285" s="16"/>
      <c r="M285" s="16"/>
      <c r="N285" s="16"/>
      <c r="O285" s="16"/>
      <c r="P285" s="16"/>
    </row>
    <row r="286" spans="12:16" x14ac:dyDescent="0.2">
      <c r="L286" s="16"/>
      <c r="M286" s="16"/>
      <c r="N286" s="16"/>
      <c r="O286" s="16"/>
      <c r="P286" s="16"/>
    </row>
    <row r="287" spans="12:16" x14ac:dyDescent="0.2">
      <c r="L287" s="16"/>
      <c r="M287" s="16"/>
      <c r="N287" s="16"/>
      <c r="O287" s="16"/>
      <c r="P287" s="16"/>
    </row>
    <row r="288" spans="12:16" x14ac:dyDescent="0.2">
      <c r="L288" s="16"/>
      <c r="M288" s="16"/>
      <c r="N288" s="16"/>
      <c r="O288" s="16"/>
      <c r="P288" s="16"/>
    </row>
    <row r="289" spans="12:16" x14ac:dyDescent="0.2">
      <c r="L289" s="16"/>
      <c r="M289" s="16"/>
      <c r="N289" s="16"/>
      <c r="O289" s="16"/>
      <c r="P289" s="16"/>
    </row>
    <row r="290" spans="12:16" x14ac:dyDescent="0.2">
      <c r="L290" s="16"/>
      <c r="M290" s="16"/>
      <c r="N290" s="16"/>
      <c r="O290" s="16"/>
      <c r="P290" s="16"/>
    </row>
    <row r="291" spans="12:16" x14ac:dyDescent="0.2">
      <c r="L291" s="16"/>
      <c r="M291" s="16"/>
      <c r="N291" s="16"/>
      <c r="O291" s="16"/>
      <c r="P291" s="16"/>
    </row>
    <row r="292" spans="12:16" x14ac:dyDescent="0.2">
      <c r="L292" s="16"/>
      <c r="M292" s="16"/>
      <c r="N292" s="16"/>
      <c r="O292" s="16"/>
      <c r="P292" s="16"/>
    </row>
    <row r="293" spans="12:16" x14ac:dyDescent="0.2">
      <c r="L293" s="16"/>
      <c r="M293" s="16"/>
      <c r="N293" s="16"/>
      <c r="O293" s="16"/>
      <c r="P293" s="16"/>
    </row>
    <row r="294" spans="12:16" x14ac:dyDescent="0.2">
      <c r="L294" s="16"/>
      <c r="M294" s="16"/>
      <c r="N294" s="16"/>
      <c r="O294" s="16"/>
      <c r="P294" s="16"/>
    </row>
    <row r="295" spans="12:16" x14ac:dyDescent="0.2">
      <c r="L295" s="16"/>
      <c r="M295" s="16"/>
      <c r="N295" s="16"/>
      <c r="O295" s="16"/>
      <c r="P295" s="16"/>
    </row>
    <row r="296" spans="12:16" x14ac:dyDescent="0.2">
      <c r="L296" s="16"/>
      <c r="M296" s="16"/>
      <c r="N296" s="16"/>
      <c r="O296" s="16"/>
      <c r="P296" s="16"/>
    </row>
    <row r="297" spans="12:16" x14ac:dyDescent="0.2">
      <c r="L297" s="16"/>
      <c r="M297" s="16"/>
      <c r="N297" s="16"/>
      <c r="O297" s="16"/>
      <c r="P297" s="16"/>
    </row>
    <row r="298" spans="12:16" x14ac:dyDescent="0.2">
      <c r="L298" s="16"/>
      <c r="M298" s="16"/>
      <c r="N298" s="16"/>
      <c r="O298" s="16"/>
      <c r="P298" s="16"/>
    </row>
    <row r="299" spans="12:16" x14ac:dyDescent="0.2">
      <c r="L299" s="16"/>
      <c r="M299" s="16"/>
      <c r="N299" s="16"/>
      <c r="O299" s="16"/>
      <c r="P299" s="16"/>
    </row>
    <row r="300" spans="12:16" x14ac:dyDescent="0.2">
      <c r="L300" s="16"/>
      <c r="M300" s="16"/>
      <c r="N300" s="16"/>
      <c r="O300" s="16"/>
      <c r="P300" s="16"/>
    </row>
    <row r="301" spans="12:16" x14ac:dyDescent="0.2">
      <c r="L301" s="16"/>
      <c r="M301" s="16"/>
      <c r="N301" s="16"/>
      <c r="O301" s="16"/>
      <c r="P301" s="16"/>
    </row>
    <row r="302" spans="12:16" x14ac:dyDescent="0.2">
      <c r="L302" s="16"/>
      <c r="M302" s="16"/>
      <c r="N302" s="16"/>
      <c r="O302" s="16"/>
      <c r="P302" s="16"/>
    </row>
    <row r="303" spans="12:16" x14ac:dyDescent="0.2">
      <c r="L303" s="16"/>
      <c r="M303" s="16"/>
      <c r="N303" s="16"/>
      <c r="O303" s="16"/>
      <c r="P303" s="16"/>
    </row>
    <row r="304" spans="12:16" x14ac:dyDescent="0.2">
      <c r="L304" s="16"/>
      <c r="M304" s="16"/>
      <c r="N304" s="16"/>
      <c r="O304" s="16"/>
      <c r="P304" s="16"/>
    </row>
    <row r="305" spans="12:16" x14ac:dyDescent="0.2">
      <c r="L305" s="16"/>
      <c r="M305" s="16"/>
      <c r="N305" s="16"/>
      <c r="O305" s="16"/>
      <c r="P305" s="16"/>
    </row>
    <row r="306" spans="12:16" x14ac:dyDescent="0.2">
      <c r="L306" s="16"/>
      <c r="M306" s="16"/>
      <c r="N306" s="16"/>
      <c r="O306" s="16"/>
      <c r="P306" s="16"/>
    </row>
    <row r="307" spans="12:16" x14ac:dyDescent="0.2">
      <c r="L307" s="16"/>
      <c r="M307" s="16"/>
      <c r="N307" s="16"/>
      <c r="O307" s="16"/>
      <c r="P307" s="16"/>
    </row>
    <row r="308" spans="12:16" x14ac:dyDescent="0.2">
      <c r="L308" s="16"/>
      <c r="M308" s="16"/>
      <c r="N308" s="16"/>
      <c r="O308" s="16"/>
      <c r="P308" s="16"/>
    </row>
    <row r="309" spans="12:16" x14ac:dyDescent="0.2">
      <c r="L309" s="16"/>
      <c r="M309" s="16"/>
      <c r="N309" s="16"/>
      <c r="O309" s="16"/>
      <c r="P309" s="16"/>
    </row>
    <row r="310" spans="12:16" x14ac:dyDescent="0.2">
      <c r="L310" s="16"/>
      <c r="M310" s="16"/>
      <c r="N310" s="16"/>
      <c r="O310" s="16"/>
      <c r="P310" s="16"/>
    </row>
    <row r="311" spans="12:16" x14ac:dyDescent="0.2">
      <c r="L311" s="16"/>
      <c r="M311" s="16"/>
      <c r="N311" s="16"/>
      <c r="O311" s="16"/>
      <c r="P311" s="16"/>
    </row>
    <row r="312" spans="12:16" x14ac:dyDescent="0.2">
      <c r="L312" s="16"/>
      <c r="M312" s="16"/>
      <c r="N312" s="16"/>
      <c r="O312" s="16"/>
      <c r="P312" s="16"/>
    </row>
    <row r="313" spans="12:16" x14ac:dyDescent="0.2">
      <c r="L313" s="16"/>
      <c r="M313" s="16"/>
      <c r="N313" s="16"/>
      <c r="O313" s="16"/>
      <c r="P313" s="16"/>
    </row>
    <row r="314" spans="12:16" x14ac:dyDescent="0.2">
      <c r="L314" s="16"/>
      <c r="M314" s="16"/>
      <c r="N314" s="16"/>
      <c r="O314" s="16"/>
      <c r="P314" s="16"/>
    </row>
    <row r="315" spans="12:16" x14ac:dyDescent="0.2">
      <c r="L315" s="16"/>
      <c r="M315" s="16"/>
      <c r="N315" s="16"/>
      <c r="O315" s="16"/>
      <c r="P315" s="16"/>
    </row>
    <row r="316" spans="12:16" x14ac:dyDescent="0.2">
      <c r="L316" s="16"/>
      <c r="M316" s="16"/>
      <c r="N316" s="16"/>
      <c r="O316" s="16"/>
      <c r="P316" s="16"/>
    </row>
    <row r="317" spans="12:16" x14ac:dyDescent="0.2">
      <c r="L317" s="16"/>
      <c r="M317" s="16"/>
      <c r="N317" s="16"/>
      <c r="O317" s="16"/>
      <c r="P317" s="16"/>
    </row>
    <row r="318" spans="12:16" x14ac:dyDescent="0.2">
      <c r="L318" s="16"/>
      <c r="M318" s="16"/>
      <c r="N318" s="16"/>
      <c r="O318" s="16"/>
      <c r="P318" s="16"/>
    </row>
    <row r="319" spans="12:16" x14ac:dyDescent="0.2">
      <c r="L319" s="16"/>
      <c r="M319" s="16"/>
      <c r="N319" s="16"/>
      <c r="O319" s="16"/>
      <c r="P319" s="16"/>
    </row>
    <row r="320" spans="12:16" x14ac:dyDescent="0.2">
      <c r="L320" s="16"/>
      <c r="M320" s="16"/>
      <c r="N320" s="16"/>
      <c r="O320" s="16"/>
      <c r="P320" s="16"/>
    </row>
    <row r="321" spans="12:16" x14ac:dyDescent="0.2">
      <c r="L321" s="16"/>
      <c r="M321" s="16"/>
      <c r="N321" s="16"/>
      <c r="O321" s="16"/>
      <c r="P321" s="16"/>
    </row>
    <row r="322" spans="12:16" x14ac:dyDescent="0.2">
      <c r="L322" s="16"/>
      <c r="M322" s="16"/>
      <c r="N322" s="16"/>
      <c r="O322" s="16"/>
      <c r="P322" s="16"/>
    </row>
    <row r="323" spans="12:16" x14ac:dyDescent="0.2">
      <c r="L323" s="16"/>
      <c r="M323" s="16"/>
      <c r="N323" s="16"/>
      <c r="O323" s="16"/>
      <c r="P323" s="16"/>
    </row>
    <row r="324" spans="12:16" x14ac:dyDescent="0.2">
      <c r="L324" s="16"/>
      <c r="M324" s="16"/>
      <c r="N324" s="16"/>
      <c r="O324" s="16"/>
      <c r="P324" s="16"/>
    </row>
    <row r="325" spans="12:16" x14ac:dyDescent="0.2">
      <c r="L325" s="16"/>
      <c r="M325" s="16"/>
      <c r="N325" s="16"/>
      <c r="O325" s="16"/>
      <c r="P325" s="16"/>
    </row>
    <row r="326" spans="12:16" x14ac:dyDescent="0.2">
      <c r="L326" s="16"/>
      <c r="M326" s="16"/>
      <c r="N326" s="16"/>
      <c r="O326" s="16"/>
      <c r="P326" s="16"/>
    </row>
    <row r="327" spans="12:16" x14ac:dyDescent="0.2">
      <c r="L327" s="16"/>
      <c r="M327" s="16"/>
      <c r="N327" s="16"/>
      <c r="O327" s="16"/>
      <c r="P327" s="16"/>
    </row>
    <row r="328" spans="12:16" x14ac:dyDescent="0.2">
      <c r="L328" s="16"/>
      <c r="M328" s="16"/>
      <c r="N328" s="16"/>
      <c r="O328" s="16"/>
      <c r="P328" s="16"/>
    </row>
    <row r="329" spans="12:16" x14ac:dyDescent="0.2">
      <c r="L329" s="16"/>
      <c r="M329" s="16"/>
      <c r="N329" s="16"/>
      <c r="O329" s="16"/>
      <c r="P329" s="16"/>
    </row>
    <row r="330" spans="12:16" x14ac:dyDescent="0.2">
      <c r="L330" s="16"/>
      <c r="M330" s="16"/>
      <c r="N330" s="16"/>
      <c r="O330" s="16"/>
      <c r="P330" s="16"/>
    </row>
    <row r="331" spans="12:16" x14ac:dyDescent="0.2">
      <c r="L331" s="16"/>
      <c r="M331" s="16"/>
      <c r="N331" s="16"/>
      <c r="O331" s="16"/>
      <c r="P331" s="16"/>
    </row>
    <row r="332" spans="12:16" x14ac:dyDescent="0.2">
      <c r="L332" s="16"/>
      <c r="M332" s="16"/>
      <c r="N332" s="16"/>
      <c r="O332" s="16"/>
      <c r="P332" s="16"/>
    </row>
    <row r="333" spans="12:16" x14ac:dyDescent="0.2">
      <c r="L333" s="16"/>
      <c r="M333" s="16"/>
      <c r="N333" s="16"/>
      <c r="O333" s="16"/>
      <c r="P333" s="16"/>
    </row>
    <row r="334" spans="12:16" x14ac:dyDescent="0.2">
      <c r="L334" s="16"/>
      <c r="M334" s="16"/>
      <c r="N334" s="16"/>
      <c r="O334" s="16"/>
      <c r="P334" s="16"/>
    </row>
    <row r="335" spans="12:16" x14ac:dyDescent="0.2">
      <c r="L335" s="16"/>
      <c r="M335" s="16"/>
      <c r="N335" s="16"/>
      <c r="O335" s="16"/>
      <c r="P335" s="16"/>
    </row>
    <row r="336" spans="12:16" x14ac:dyDescent="0.2">
      <c r="L336" s="16"/>
      <c r="M336" s="16"/>
      <c r="N336" s="16"/>
      <c r="O336" s="16"/>
      <c r="P336" s="16"/>
    </row>
    <row r="337" spans="12:16" x14ac:dyDescent="0.2">
      <c r="L337" s="16"/>
      <c r="M337" s="16"/>
      <c r="N337" s="16"/>
      <c r="O337" s="16"/>
      <c r="P337" s="16"/>
    </row>
    <row r="338" spans="12:16" x14ac:dyDescent="0.2">
      <c r="L338" s="16"/>
      <c r="M338" s="16"/>
      <c r="N338" s="16"/>
      <c r="O338" s="16"/>
      <c r="P338" s="16"/>
    </row>
    <row r="339" spans="12:16" x14ac:dyDescent="0.2">
      <c r="L339" s="16"/>
      <c r="M339" s="16"/>
      <c r="N339" s="16"/>
      <c r="O339" s="16"/>
      <c r="P339" s="16"/>
    </row>
    <row r="340" spans="12:16" x14ac:dyDescent="0.2">
      <c r="L340" s="16"/>
      <c r="M340" s="16"/>
      <c r="N340" s="16"/>
      <c r="O340" s="16"/>
      <c r="P340" s="16"/>
    </row>
    <row r="341" spans="12:16" x14ac:dyDescent="0.2">
      <c r="L341" s="16"/>
      <c r="M341" s="16"/>
      <c r="N341" s="16"/>
      <c r="O341" s="16"/>
      <c r="P341" s="16"/>
    </row>
    <row r="342" spans="12:16" x14ac:dyDescent="0.2">
      <c r="L342" s="16"/>
      <c r="M342" s="16"/>
      <c r="N342" s="16"/>
      <c r="O342" s="16"/>
      <c r="P342" s="16"/>
    </row>
    <row r="343" spans="12:16" x14ac:dyDescent="0.2">
      <c r="L343" s="16"/>
      <c r="M343" s="16"/>
      <c r="N343" s="16"/>
      <c r="O343" s="16"/>
      <c r="P343" s="16"/>
    </row>
    <row r="344" spans="12:16" x14ac:dyDescent="0.2">
      <c r="L344" s="16"/>
      <c r="M344" s="16"/>
      <c r="N344" s="16"/>
      <c r="O344" s="16"/>
      <c r="P344" s="16"/>
    </row>
    <row r="345" spans="12:16" x14ac:dyDescent="0.2">
      <c r="L345" s="16"/>
      <c r="M345" s="16"/>
      <c r="N345" s="16"/>
      <c r="O345" s="16"/>
      <c r="P345" s="16"/>
    </row>
    <row r="346" spans="12:16" x14ac:dyDescent="0.2">
      <c r="L346" s="16"/>
      <c r="M346" s="16"/>
      <c r="N346" s="16"/>
      <c r="O346" s="16"/>
      <c r="P346" s="16"/>
    </row>
    <row r="347" spans="12:16" x14ac:dyDescent="0.2">
      <c r="L347" s="16"/>
      <c r="M347" s="16"/>
      <c r="N347" s="16"/>
      <c r="O347" s="16"/>
      <c r="P347" s="16"/>
    </row>
    <row r="348" spans="12:16" x14ac:dyDescent="0.2">
      <c r="L348" s="16"/>
      <c r="M348" s="16"/>
      <c r="N348" s="16"/>
      <c r="O348" s="16"/>
      <c r="P348" s="16"/>
    </row>
    <row r="349" spans="12:16" x14ac:dyDescent="0.2">
      <c r="L349" s="16"/>
      <c r="M349" s="16"/>
      <c r="N349" s="16"/>
      <c r="O349" s="16"/>
      <c r="P349" s="16"/>
    </row>
    <row r="350" spans="12:16" x14ac:dyDescent="0.2">
      <c r="L350" s="16"/>
      <c r="M350" s="16"/>
      <c r="N350" s="16"/>
      <c r="O350" s="16"/>
      <c r="P350" s="16"/>
    </row>
    <row r="351" spans="12:16" x14ac:dyDescent="0.2">
      <c r="L351" s="16"/>
      <c r="M351" s="16"/>
      <c r="N351" s="16"/>
      <c r="O351" s="16"/>
      <c r="P351" s="16"/>
    </row>
    <row r="352" spans="12:16" x14ac:dyDescent="0.2">
      <c r="L352" s="16"/>
      <c r="M352" s="16"/>
      <c r="N352" s="16"/>
      <c r="O352" s="16"/>
      <c r="P352" s="16"/>
    </row>
    <row r="353" spans="12:16" x14ac:dyDescent="0.2">
      <c r="L353" s="16"/>
      <c r="M353" s="16"/>
      <c r="N353" s="16"/>
      <c r="O353" s="16"/>
      <c r="P353" s="16"/>
    </row>
    <row r="354" spans="12:16" x14ac:dyDescent="0.2">
      <c r="L354" s="16"/>
      <c r="M354" s="16"/>
      <c r="N354" s="16"/>
      <c r="O354" s="16"/>
      <c r="P354" s="16"/>
    </row>
    <row r="355" spans="12:16" x14ac:dyDescent="0.2">
      <c r="L355" s="16"/>
      <c r="M355" s="16"/>
      <c r="N355" s="16"/>
      <c r="O355" s="16"/>
      <c r="P355" s="16"/>
    </row>
    <row r="356" spans="12:16" x14ac:dyDescent="0.2">
      <c r="L356" s="16"/>
      <c r="M356" s="16"/>
      <c r="N356" s="16"/>
      <c r="O356" s="16"/>
      <c r="P356" s="16"/>
    </row>
    <row r="357" spans="12:16" x14ac:dyDescent="0.2">
      <c r="L357" s="16"/>
      <c r="M357" s="16"/>
      <c r="N357" s="16"/>
      <c r="O357" s="16"/>
      <c r="P357" s="16"/>
    </row>
    <row r="358" spans="12:16" x14ac:dyDescent="0.2">
      <c r="L358" s="16"/>
      <c r="M358" s="16"/>
      <c r="N358" s="16"/>
      <c r="O358" s="16"/>
      <c r="P358" s="16"/>
    </row>
    <row r="359" spans="12:16" x14ac:dyDescent="0.2">
      <c r="L359" s="16"/>
      <c r="M359" s="16"/>
      <c r="N359" s="16"/>
      <c r="O359" s="16"/>
      <c r="P359" s="16"/>
    </row>
    <row r="360" spans="12:16" x14ac:dyDescent="0.2">
      <c r="L360" s="16"/>
      <c r="M360" s="16"/>
      <c r="N360" s="16"/>
      <c r="O360" s="16"/>
      <c r="P360" s="16"/>
    </row>
    <row r="361" spans="12:16" x14ac:dyDescent="0.2">
      <c r="L361" s="16"/>
      <c r="M361" s="16"/>
      <c r="N361" s="16"/>
      <c r="O361" s="16"/>
      <c r="P361" s="16"/>
    </row>
    <row r="362" spans="12:16" x14ac:dyDescent="0.2">
      <c r="L362" s="16"/>
      <c r="M362" s="16"/>
      <c r="N362" s="16"/>
      <c r="O362" s="16"/>
      <c r="P362" s="16"/>
    </row>
    <row r="363" spans="12:16" x14ac:dyDescent="0.2">
      <c r="L363" s="16"/>
      <c r="M363" s="16"/>
      <c r="N363" s="16"/>
      <c r="O363" s="16"/>
      <c r="P363" s="16"/>
    </row>
    <row r="364" spans="12:16" x14ac:dyDescent="0.2">
      <c r="L364" s="16"/>
      <c r="M364" s="16"/>
      <c r="N364" s="16"/>
      <c r="O364" s="16"/>
      <c r="P364" s="16"/>
    </row>
    <row r="365" spans="12:16" x14ac:dyDescent="0.2">
      <c r="L365" s="16"/>
      <c r="M365" s="16"/>
      <c r="N365" s="16"/>
      <c r="O365" s="16"/>
      <c r="P365" s="16"/>
    </row>
    <row r="366" spans="12:16" x14ac:dyDescent="0.2">
      <c r="L366" s="16"/>
      <c r="M366" s="16"/>
      <c r="N366" s="16"/>
      <c r="O366" s="16"/>
      <c r="P366" s="16"/>
    </row>
    <row r="367" spans="12:16" x14ac:dyDescent="0.2">
      <c r="L367" s="16"/>
      <c r="M367" s="16"/>
      <c r="N367" s="16"/>
      <c r="O367" s="16"/>
      <c r="P367" s="16"/>
    </row>
    <row r="368" spans="12:16" x14ac:dyDescent="0.2">
      <c r="L368" s="16"/>
      <c r="M368" s="16"/>
      <c r="N368" s="16"/>
      <c r="O368" s="16"/>
      <c r="P368" s="16"/>
    </row>
    <row r="369" spans="12:16" x14ac:dyDescent="0.2">
      <c r="L369" s="16"/>
      <c r="M369" s="16"/>
      <c r="N369" s="16"/>
      <c r="O369" s="16"/>
      <c r="P369" s="16"/>
    </row>
    <row r="370" spans="12:16" x14ac:dyDescent="0.2">
      <c r="L370" s="16"/>
      <c r="M370" s="16"/>
      <c r="N370" s="16"/>
      <c r="O370" s="16"/>
      <c r="P370" s="16"/>
    </row>
    <row r="371" spans="12:16" x14ac:dyDescent="0.2">
      <c r="L371" s="16"/>
      <c r="M371" s="16"/>
      <c r="N371" s="16"/>
      <c r="O371" s="16"/>
      <c r="P371" s="16"/>
    </row>
    <row r="372" spans="12:16" x14ac:dyDescent="0.2">
      <c r="L372" s="16"/>
      <c r="M372" s="16"/>
      <c r="N372" s="16"/>
      <c r="O372" s="16"/>
      <c r="P372" s="16"/>
    </row>
    <row r="373" spans="12:16" x14ac:dyDescent="0.2">
      <c r="L373" s="16"/>
      <c r="M373" s="16"/>
      <c r="N373" s="16"/>
      <c r="O373" s="16"/>
      <c r="P373" s="16"/>
    </row>
    <row r="374" spans="12:16" x14ac:dyDescent="0.2">
      <c r="L374" s="16"/>
      <c r="M374" s="16"/>
      <c r="N374" s="16"/>
      <c r="O374" s="16"/>
      <c r="P374" s="16"/>
    </row>
    <row r="375" spans="12:16" x14ac:dyDescent="0.2">
      <c r="L375" s="16"/>
      <c r="M375" s="16"/>
      <c r="N375" s="16"/>
      <c r="O375" s="16"/>
      <c r="P375" s="16"/>
    </row>
    <row r="376" spans="12:16" x14ac:dyDescent="0.2">
      <c r="L376" s="16"/>
      <c r="M376" s="16"/>
      <c r="N376" s="16"/>
      <c r="O376" s="16"/>
      <c r="P376" s="16"/>
    </row>
    <row r="377" spans="12:16" x14ac:dyDescent="0.2">
      <c r="L377" s="16"/>
      <c r="M377" s="16"/>
      <c r="N377" s="16"/>
      <c r="O377" s="16"/>
      <c r="P377" s="16"/>
    </row>
    <row r="378" spans="12:16" x14ac:dyDescent="0.2">
      <c r="L378" s="16"/>
      <c r="M378" s="16"/>
      <c r="N378" s="16"/>
      <c r="O378" s="16"/>
      <c r="P378" s="16"/>
    </row>
    <row r="379" spans="12:16" x14ac:dyDescent="0.2">
      <c r="L379" s="16"/>
      <c r="M379" s="16"/>
      <c r="N379" s="16"/>
      <c r="O379" s="16"/>
      <c r="P379" s="16"/>
    </row>
    <row r="380" spans="12:16" x14ac:dyDescent="0.2">
      <c r="L380" s="16"/>
      <c r="M380" s="16"/>
      <c r="N380" s="16"/>
      <c r="O380" s="16"/>
      <c r="P380" s="16"/>
    </row>
    <row r="381" spans="12:16" x14ac:dyDescent="0.2">
      <c r="L381" s="16"/>
      <c r="M381" s="16"/>
      <c r="N381" s="16"/>
      <c r="O381" s="16"/>
      <c r="P381" s="16"/>
    </row>
    <row r="382" spans="12:16" x14ac:dyDescent="0.2">
      <c r="L382" s="16"/>
      <c r="M382" s="16"/>
      <c r="N382" s="16"/>
      <c r="O382" s="16"/>
      <c r="P382" s="16"/>
    </row>
    <row r="383" spans="12:16" x14ac:dyDescent="0.2">
      <c r="L383" s="16"/>
      <c r="M383" s="16"/>
      <c r="N383" s="16"/>
      <c r="O383" s="16"/>
      <c r="P383" s="16"/>
    </row>
    <row r="384" spans="12:16" x14ac:dyDescent="0.2">
      <c r="L384" s="16"/>
      <c r="M384" s="16"/>
      <c r="N384" s="16"/>
      <c r="O384" s="16"/>
      <c r="P384" s="16"/>
    </row>
    <row r="385" spans="12:16" x14ac:dyDescent="0.2">
      <c r="L385" s="16"/>
      <c r="M385" s="16"/>
      <c r="N385" s="16"/>
      <c r="O385" s="16"/>
      <c r="P385" s="16"/>
    </row>
    <row r="386" spans="12:16" x14ac:dyDescent="0.2">
      <c r="L386" s="16"/>
      <c r="M386" s="16"/>
      <c r="N386" s="16"/>
      <c r="O386" s="16"/>
      <c r="P386" s="16"/>
    </row>
    <row r="387" spans="12:16" x14ac:dyDescent="0.2">
      <c r="L387" s="16"/>
      <c r="M387" s="16"/>
      <c r="N387" s="16"/>
      <c r="O387" s="16"/>
      <c r="P387" s="16"/>
    </row>
    <row r="388" spans="12:16" x14ac:dyDescent="0.2">
      <c r="L388" s="16"/>
      <c r="M388" s="16"/>
      <c r="N388" s="16"/>
      <c r="O388" s="16"/>
      <c r="P388" s="16"/>
    </row>
    <row r="389" spans="12:16" x14ac:dyDescent="0.2">
      <c r="L389" s="16"/>
      <c r="M389" s="16"/>
      <c r="N389" s="16"/>
      <c r="O389" s="16"/>
      <c r="P389" s="16"/>
    </row>
    <row r="390" spans="12:16" x14ac:dyDescent="0.2">
      <c r="L390" s="16"/>
      <c r="M390" s="16"/>
      <c r="N390" s="16"/>
      <c r="O390" s="16"/>
      <c r="P390" s="16"/>
    </row>
    <row r="391" spans="12:16" x14ac:dyDescent="0.2">
      <c r="L391" s="16"/>
      <c r="M391" s="16"/>
      <c r="N391" s="16"/>
      <c r="O391" s="16"/>
      <c r="P391" s="16"/>
    </row>
    <row r="392" spans="12:16" x14ac:dyDescent="0.2">
      <c r="L392" s="16"/>
      <c r="M392" s="16"/>
      <c r="N392" s="16"/>
      <c r="O392" s="16"/>
      <c r="P392" s="16"/>
    </row>
    <row r="393" spans="12:16" x14ac:dyDescent="0.2">
      <c r="L393" s="16"/>
      <c r="M393" s="16"/>
      <c r="N393" s="16"/>
      <c r="O393" s="16"/>
      <c r="P393" s="16"/>
    </row>
    <row r="394" spans="12:16" x14ac:dyDescent="0.2">
      <c r="L394" s="16"/>
      <c r="M394" s="16"/>
      <c r="N394" s="16"/>
      <c r="O394" s="16"/>
      <c r="P394" s="16"/>
    </row>
    <row r="395" spans="12:16" x14ac:dyDescent="0.2">
      <c r="L395" s="16"/>
      <c r="M395" s="16"/>
      <c r="N395" s="16"/>
      <c r="O395" s="16"/>
      <c r="P395" s="16"/>
    </row>
    <row r="396" spans="12:16" x14ac:dyDescent="0.2">
      <c r="L396" s="16"/>
      <c r="M396" s="16"/>
      <c r="N396" s="16"/>
      <c r="O396" s="16"/>
      <c r="P396" s="16"/>
    </row>
    <row r="397" spans="12:16" x14ac:dyDescent="0.2">
      <c r="L397" s="16"/>
      <c r="M397" s="16"/>
      <c r="N397" s="16"/>
      <c r="O397" s="16"/>
      <c r="P397" s="16"/>
    </row>
    <row r="398" spans="12:16" x14ac:dyDescent="0.2">
      <c r="L398" s="16"/>
      <c r="M398" s="16"/>
      <c r="N398" s="16"/>
      <c r="O398" s="16"/>
      <c r="P398" s="16"/>
    </row>
    <row r="399" spans="12:16" x14ac:dyDescent="0.2">
      <c r="L399" s="16"/>
      <c r="M399" s="16"/>
      <c r="N399" s="16"/>
      <c r="O399" s="16"/>
      <c r="P399" s="16"/>
    </row>
    <row r="400" spans="12:16" x14ac:dyDescent="0.2">
      <c r="L400" s="16"/>
      <c r="M400" s="16"/>
      <c r="N400" s="16"/>
      <c r="O400" s="16"/>
      <c r="P400" s="16"/>
    </row>
    <row r="401" spans="12:16" x14ac:dyDescent="0.2">
      <c r="L401" s="16"/>
      <c r="M401" s="16"/>
      <c r="N401" s="16"/>
      <c r="O401" s="16"/>
      <c r="P401" s="16"/>
    </row>
    <row r="402" spans="12:16" x14ac:dyDescent="0.2">
      <c r="L402" s="16"/>
      <c r="M402" s="16"/>
      <c r="N402" s="16"/>
      <c r="O402" s="16"/>
      <c r="P402" s="16"/>
    </row>
    <row r="403" spans="12:16" x14ac:dyDescent="0.2">
      <c r="L403" s="16"/>
      <c r="M403" s="16"/>
      <c r="N403" s="16"/>
      <c r="O403" s="16"/>
      <c r="P403" s="16"/>
    </row>
    <row r="404" spans="12:16" x14ac:dyDescent="0.2">
      <c r="L404" s="16"/>
      <c r="M404" s="16"/>
      <c r="N404" s="16"/>
      <c r="O404" s="16"/>
      <c r="P404" s="16"/>
    </row>
    <row r="405" spans="12:16" x14ac:dyDescent="0.2">
      <c r="L405" s="16"/>
      <c r="M405" s="16"/>
      <c r="N405" s="16"/>
      <c r="O405" s="16"/>
      <c r="P405" s="16"/>
    </row>
    <row r="406" spans="12:16" x14ac:dyDescent="0.2">
      <c r="L406" s="16"/>
      <c r="M406" s="16"/>
      <c r="N406" s="16"/>
      <c r="O406" s="16"/>
      <c r="P406" s="16"/>
    </row>
    <row r="407" spans="12:16" x14ac:dyDescent="0.2">
      <c r="L407" s="16"/>
      <c r="M407" s="16"/>
      <c r="N407" s="16"/>
      <c r="O407" s="16"/>
      <c r="P407" s="16"/>
    </row>
    <row r="408" spans="12:16" x14ac:dyDescent="0.2">
      <c r="L408" s="16"/>
      <c r="M408" s="16"/>
      <c r="N408" s="16"/>
      <c r="O408" s="16"/>
      <c r="P408" s="16"/>
    </row>
    <row r="409" spans="12:16" x14ac:dyDescent="0.2">
      <c r="L409" s="16"/>
      <c r="M409" s="16"/>
      <c r="N409" s="16"/>
      <c r="O409" s="16"/>
      <c r="P409" s="16"/>
    </row>
    <row r="410" spans="12:16" x14ac:dyDescent="0.2">
      <c r="L410" s="16"/>
      <c r="M410" s="16"/>
      <c r="N410" s="16"/>
      <c r="O410" s="16"/>
      <c r="P410" s="16"/>
    </row>
    <row r="411" spans="12:16" x14ac:dyDescent="0.2">
      <c r="L411" s="16"/>
      <c r="M411" s="16"/>
      <c r="N411" s="16"/>
      <c r="O411" s="16"/>
      <c r="P411" s="16"/>
    </row>
    <row r="412" spans="12:16" x14ac:dyDescent="0.2">
      <c r="L412" s="16"/>
      <c r="M412" s="16"/>
      <c r="N412" s="16"/>
      <c r="O412" s="16"/>
      <c r="P412" s="16"/>
    </row>
    <row r="413" spans="12:16" x14ac:dyDescent="0.2">
      <c r="L413" s="16"/>
      <c r="M413" s="16"/>
      <c r="N413" s="16"/>
      <c r="O413" s="16"/>
      <c r="P413" s="16"/>
    </row>
    <row r="414" spans="12:16" x14ac:dyDescent="0.2">
      <c r="L414" s="16"/>
      <c r="M414" s="16"/>
      <c r="N414" s="16"/>
      <c r="O414" s="16"/>
      <c r="P414" s="16"/>
    </row>
    <row r="415" spans="12:16" x14ac:dyDescent="0.2">
      <c r="L415" s="16"/>
      <c r="M415" s="16"/>
      <c r="N415" s="16"/>
      <c r="O415" s="16"/>
      <c r="P415" s="16"/>
    </row>
    <row r="416" spans="12:16" x14ac:dyDescent="0.2">
      <c r="L416" s="16"/>
      <c r="M416" s="16"/>
      <c r="N416" s="16"/>
      <c r="O416" s="16"/>
      <c r="P416" s="16"/>
    </row>
    <row r="417" spans="12:16" x14ac:dyDescent="0.2">
      <c r="L417" s="16"/>
      <c r="M417" s="16"/>
      <c r="N417" s="16"/>
      <c r="O417" s="16"/>
      <c r="P417" s="16"/>
    </row>
    <row r="418" spans="12:16" x14ac:dyDescent="0.2">
      <c r="L418" s="16"/>
      <c r="M418" s="16"/>
      <c r="N418" s="16"/>
      <c r="O418" s="16"/>
      <c r="P418" s="16"/>
    </row>
    <row r="419" spans="12:16" x14ac:dyDescent="0.2">
      <c r="L419" s="16"/>
      <c r="M419" s="16"/>
      <c r="N419" s="16"/>
      <c r="O419" s="16"/>
      <c r="P419" s="16"/>
    </row>
    <row r="420" spans="12:16" x14ac:dyDescent="0.2">
      <c r="L420" s="16"/>
      <c r="M420" s="16"/>
      <c r="N420" s="16"/>
      <c r="O420" s="16"/>
      <c r="P420" s="16"/>
    </row>
    <row r="421" spans="12:16" x14ac:dyDescent="0.2">
      <c r="L421" s="16"/>
      <c r="M421" s="16"/>
      <c r="N421" s="16"/>
      <c r="O421" s="16"/>
      <c r="P421" s="16"/>
    </row>
    <row r="422" spans="12:16" x14ac:dyDescent="0.2">
      <c r="L422" s="16"/>
      <c r="M422" s="16"/>
      <c r="N422" s="16"/>
      <c r="O422" s="16"/>
      <c r="P422" s="16"/>
    </row>
    <row r="423" spans="12:16" x14ac:dyDescent="0.2">
      <c r="L423" s="16"/>
      <c r="M423" s="16"/>
      <c r="N423" s="16"/>
      <c r="O423" s="16"/>
      <c r="P423" s="16"/>
    </row>
    <row r="424" spans="12:16" x14ac:dyDescent="0.2">
      <c r="L424" s="16"/>
      <c r="M424" s="16"/>
      <c r="N424" s="16"/>
      <c r="O424" s="16"/>
      <c r="P424" s="16"/>
    </row>
    <row r="425" spans="12:16" x14ac:dyDescent="0.2">
      <c r="L425" s="16"/>
      <c r="M425" s="16"/>
      <c r="N425" s="16"/>
      <c r="O425" s="16"/>
      <c r="P425" s="16"/>
    </row>
    <row r="426" spans="12:16" x14ac:dyDescent="0.2">
      <c r="L426" s="16"/>
      <c r="M426" s="16"/>
      <c r="N426" s="16"/>
      <c r="O426" s="16"/>
      <c r="P426" s="16"/>
    </row>
    <row r="427" spans="12:16" x14ac:dyDescent="0.2">
      <c r="L427" s="16"/>
      <c r="M427" s="16"/>
      <c r="N427" s="16"/>
      <c r="O427" s="16"/>
      <c r="P427" s="16"/>
    </row>
    <row r="428" spans="12:16" x14ac:dyDescent="0.2">
      <c r="L428" s="16"/>
      <c r="M428" s="16"/>
      <c r="N428" s="16"/>
      <c r="O428" s="16"/>
      <c r="P428" s="16"/>
    </row>
    <row r="429" spans="12:16" x14ac:dyDescent="0.2">
      <c r="L429" s="16"/>
      <c r="M429" s="16"/>
      <c r="N429" s="16"/>
      <c r="O429" s="16"/>
      <c r="P429" s="16"/>
    </row>
    <row r="430" spans="12:16" x14ac:dyDescent="0.2">
      <c r="L430" s="16"/>
      <c r="M430" s="16"/>
      <c r="N430" s="16"/>
      <c r="O430" s="16"/>
      <c r="P430" s="16"/>
    </row>
    <row r="431" spans="12:16" x14ac:dyDescent="0.2">
      <c r="L431" s="16"/>
      <c r="M431" s="16"/>
      <c r="N431" s="16"/>
      <c r="O431" s="16"/>
      <c r="P431" s="16"/>
    </row>
    <row r="432" spans="12:16" x14ac:dyDescent="0.2">
      <c r="L432" s="16"/>
      <c r="M432" s="16"/>
      <c r="N432" s="16"/>
      <c r="O432" s="16"/>
      <c r="P432" s="16"/>
    </row>
    <row r="433" spans="12:16" x14ac:dyDescent="0.2">
      <c r="L433" s="16"/>
      <c r="M433" s="16"/>
      <c r="N433" s="16"/>
      <c r="O433" s="16"/>
      <c r="P433" s="16"/>
    </row>
    <row r="434" spans="12:16" x14ac:dyDescent="0.2">
      <c r="L434" s="16"/>
      <c r="M434" s="16"/>
      <c r="N434" s="16"/>
      <c r="O434" s="16"/>
      <c r="P434" s="16"/>
    </row>
    <row r="435" spans="12:16" x14ac:dyDescent="0.2">
      <c r="L435" s="16"/>
      <c r="M435" s="16"/>
      <c r="N435" s="16"/>
      <c r="O435" s="16"/>
      <c r="P435" s="16"/>
    </row>
    <row r="436" spans="12:16" x14ac:dyDescent="0.2">
      <c r="L436" s="16"/>
      <c r="M436" s="16"/>
      <c r="N436" s="16"/>
      <c r="O436" s="16"/>
      <c r="P436" s="16"/>
    </row>
    <row r="437" spans="12:16" x14ac:dyDescent="0.2">
      <c r="L437" s="16"/>
      <c r="M437" s="16"/>
      <c r="N437" s="16"/>
      <c r="O437" s="16"/>
      <c r="P437" s="16"/>
    </row>
    <row r="438" spans="12:16" x14ac:dyDescent="0.2">
      <c r="L438" s="16"/>
      <c r="M438" s="16"/>
      <c r="N438" s="16"/>
      <c r="O438" s="16"/>
      <c r="P438" s="16"/>
    </row>
    <row r="439" spans="12:16" x14ac:dyDescent="0.2">
      <c r="L439" s="16"/>
      <c r="M439" s="16"/>
      <c r="N439" s="16"/>
      <c r="O439" s="16"/>
      <c r="P439" s="16"/>
    </row>
    <row r="440" spans="12:16" x14ac:dyDescent="0.2">
      <c r="L440" s="16"/>
      <c r="M440" s="16"/>
      <c r="N440" s="16"/>
      <c r="O440" s="16"/>
      <c r="P440" s="16"/>
    </row>
    <row r="441" spans="12:16" x14ac:dyDescent="0.2">
      <c r="L441" s="16"/>
      <c r="M441" s="16"/>
      <c r="N441" s="16"/>
      <c r="O441" s="16"/>
      <c r="P441" s="16"/>
    </row>
    <row r="442" spans="12:16" x14ac:dyDescent="0.2">
      <c r="L442" s="16"/>
      <c r="M442" s="16"/>
      <c r="N442" s="16"/>
      <c r="O442" s="16"/>
      <c r="P442" s="16"/>
    </row>
    <row r="443" spans="12:16" x14ac:dyDescent="0.2">
      <c r="L443" s="16"/>
      <c r="M443" s="16"/>
      <c r="N443" s="16"/>
      <c r="O443" s="16"/>
      <c r="P443" s="16"/>
    </row>
    <row r="444" spans="12:16" x14ac:dyDescent="0.2">
      <c r="L444" s="16"/>
      <c r="M444" s="16"/>
      <c r="N444" s="16"/>
      <c r="O444" s="16"/>
      <c r="P444" s="16"/>
    </row>
    <row r="445" spans="12:16" x14ac:dyDescent="0.2">
      <c r="L445" s="16"/>
      <c r="M445" s="16"/>
      <c r="N445" s="16"/>
      <c r="O445" s="16"/>
      <c r="P445" s="16"/>
    </row>
    <row r="446" spans="12:16" x14ac:dyDescent="0.2">
      <c r="L446" s="16"/>
      <c r="M446" s="16"/>
      <c r="N446" s="16"/>
      <c r="O446" s="16"/>
      <c r="P446" s="16"/>
    </row>
    <row r="447" spans="12:16" x14ac:dyDescent="0.2">
      <c r="L447" s="16"/>
      <c r="M447" s="16"/>
      <c r="N447" s="16"/>
      <c r="O447" s="16"/>
      <c r="P447" s="16"/>
    </row>
    <row r="448" spans="12:16" x14ac:dyDescent="0.2">
      <c r="L448" s="16"/>
      <c r="M448" s="16"/>
      <c r="N448" s="16"/>
      <c r="O448" s="16"/>
      <c r="P448" s="16"/>
    </row>
    <row r="449" spans="12:16" x14ac:dyDescent="0.2">
      <c r="L449" s="16"/>
      <c r="M449" s="16"/>
      <c r="N449" s="16"/>
      <c r="O449" s="16"/>
      <c r="P449" s="16"/>
    </row>
    <row r="450" spans="12:16" x14ac:dyDescent="0.2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  <pageSetUpPr fitToPage="1"/>
  </sheetPr>
  <dimension ref="B2:AN450"/>
  <sheetViews>
    <sheetView zoomScale="90" zoomScaleNormal="90" workbookViewId="0"/>
  </sheetViews>
  <sheetFormatPr defaultRowHeight="12.75" x14ac:dyDescent="0.2"/>
  <cols>
    <col min="1" max="1" width="5.42578125" style="5" customWidth="1"/>
    <col min="2" max="2" width="8.85546875" style="6" hidden="1" customWidth="1"/>
    <col min="3" max="3" width="8.85546875" style="6" customWidth="1"/>
    <col min="4" max="4" width="22.42578125" style="5" customWidth="1"/>
    <col min="5" max="5" width="9.85546875" style="7" customWidth="1"/>
    <col min="6" max="6" width="13" style="46" customWidth="1"/>
    <col min="7" max="7" width="11.7109375" style="46" customWidth="1"/>
    <col min="8" max="20" width="8.85546875" style="7" hidden="1" customWidth="1"/>
    <col min="21" max="21" width="3.85546875" style="5" customWidth="1"/>
    <col min="22" max="22" width="19" style="5" customWidth="1"/>
    <col min="23" max="23" width="11" style="5" customWidth="1"/>
    <col min="24" max="25" width="9.85546875" style="5" customWidth="1"/>
    <col min="26" max="26" width="11.7109375" style="5" customWidth="1"/>
    <col min="27" max="27" width="4.140625" style="5" customWidth="1"/>
    <col min="28" max="47" width="6.42578125" style="5" customWidth="1"/>
    <col min="48" max="207" width="6.5703125" style="5" customWidth="1"/>
    <col min="208" max="16384" width="9.140625" style="5"/>
  </cols>
  <sheetData>
    <row r="2" spans="2:40" ht="33.75" x14ac:dyDescent="0.5">
      <c r="B2" s="4"/>
      <c r="C2" s="132" t="s">
        <v>57</v>
      </c>
      <c r="D2" s="4"/>
      <c r="V2" s="84" t="s">
        <v>44</v>
      </c>
      <c r="W2" s="84" t="s">
        <v>94</v>
      </c>
      <c r="X2" s="83"/>
    </row>
    <row r="3" spans="2:40" ht="16.5" x14ac:dyDescent="0.25">
      <c r="B3" s="75"/>
      <c r="C3" s="75" t="s">
        <v>50</v>
      </c>
      <c r="D3" s="75"/>
      <c r="E3" s="74"/>
      <c r="V3" s="85" t="s">
        <v>45</v>
      </c>
      <c r="W3" s="84" t="s">
        <v>49</v>
      </c>
      <c r="X3" s="82"/>
    </row>
    <row r="4" spans="2:40" x14ac:dyDescent="0.2">
      <c r="B4" s="73"/>
      <c r="C4" s="73"/>
      <c r="D4" s="73"/>
    </row>
    <row r="5" spans="2:40" s="8" customFormat="1" ht="21.75" customHeight="1" x14ac:dyDescent="0.2">
      <c r="B5" s="76"/>
      <c r="C5" s="76" t="s">
        <v>39</v>
      </c>
      <c r="D5" s="76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6" t="s">
        <v>38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 x14ac:dyDescent="0.2">
      <c r="B6" s="28" t="s">
        <v>51</v>
      </c>
      <c r="C6" s="28" t="s">
        <v>0</v>
      </c>
      <c r="D6" s="29" t="s">
        <v>19</v>
      </c>
      <c r="E6" s="47" t="s">
        <v>26</v>
      </c>
      <c r="F6" s="47" t="s">
        <v>27</v>
      </c>
      <c r="G6" s="47" t="s">
        <v>23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  <c r="M6" s="45" t="s">
        <v>13</v>
      </c>
      <c r="N6" s="45" t="s">
        <v>18</v>
      </c>
      <c r="O6" s="45" t="s">
        <v>75</v>
      </c>
      <c r="P6" s="45" t="s">
        <v>2</v>
      </c>
      <c r="Q6" s="45" t="s">
        <v>5</v>
      </c>
      <c r="R6" s="45"/>
      <c r="S6" s="45"/>
      <c r="T6" s="45"/>
      <c r="U6" s="5"/>
      <c r="V6" s="38" t="s">
        <v>29</v>
      </c>
      <c r="W6" s="39" t="s">
        <v>30</v>
      </c>
      <c r="X6" s="39" t="s">
        <v>26</v>
      </c>
      <c r="Y6" s="39" t="s">
        <v>27</v>
      </c>
      <c r="Z6" s="40" t="s">
        <v>29</v>
      </c>
      <c r="AA6" s="14"/>
      <c r="AB6" s="14"/>
      <c r="AC6" s="14"/>
    </row>
    <row r="7" spans="2:40" s="15" customFormat="1" ht="15.75" customHeight="1" x14ac:dyDescent="0.2">
      <c r="B7" s="89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10</v>
      </c>
      <c r="C7" s="89">
        <v>1</v>
      </c>
      <c r="D7" s="30" t="s">
        <v>14</v>
      </c>
      <c r="E7" s="88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88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30</v>
      </c>
      <c r="G7" s="49">
        <f>E29</f>
        <v>8.4989749738908564</v>
      </c>
      <c r="H7" s="48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2200</v>
      </c>
      <c r="I7" s="57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88</v>
      </c>
      <c r="J7" s="57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9.98</v>
      </c>
      <c r="K7" s="57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12.8</v>
      </c>
      <c r="L7" s="57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8.1</v>
      </c>
      <c r="M7" s="57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7.13</v>
      </c>
      <c r="N7" s="57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62</v>
      </c>
      <c r="O7" s="57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69.900000000000006</v>
      </c>
      <c r="P7" s="57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7.8600000000000003E-2</v>
      </c>
      <c r="Q7" s="57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1.23</v>
      </c>
      <c r="R7" s="57"/>
      <c r="S7" s="57"/>
      <c r="T7" s="57"/>
      <c r="U7" s="5"/>
      <c r="V7" s="31" t="s">
        <v>32</v>
      </c>
      <c r="W7" s="32" t="s">
        <v>23</v>
      </c>
      <c r="X7" s="106">
        <v>86</v>
      </c>
      <c r="Y7" s="107" t="s">
        <v>36</v>
      </c>
      <c r="Z7" s="33">
        <f>G45</f>
        <v>86.741696576986911</v>
      </c>
      <c r="AA7" s="14"/>
      <c r="AB7" s="14"/>
      <c r="AC7" s="14"/>
    </row>
    <row r="8" spans="2:40" s="15" customFormat="1" ht="15.75" customHeight="1" x14ac:dyDescent="0.2">
      <c r="B8" s="89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7</v>
      </c>
      <c r="C8" s="89">
        <v>2</v>
      </c>
      <c r="D8" s="30" t="s">
        <v>70</v>
      </c>
      <c r="E8" s="88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10</v>
      </c>
      <c r="F8" s="88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50</v>
      </c>
      <c r="G8" s="49">
        <f t="shared" ref="G8:G21" si="0">E30</f>
        <v>10</v>
      </c>
      <c r="H8" s="48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3200</v>
      </c>
      <c r="I8" s="57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86.8</v>
      </c>
      <c r="J8" s="57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2.15</v>
      </c>
      <c r="K8" s="57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10.8</v>
      </c>
      <c r="L8" s="57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4.28</v>
      </c>
      <c r="M8" s="57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3.53</v>
      </c>
      <c r="N8" s="57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80.2</v>
      </c>
      <c r="O8" s="57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80.8</v>
      </c>
      <c r="P8" s="57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0.23400000000000001</v>
      </c>
      <c r="Q8" s="57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0.41399999999999998</v>
      </c>
      <c r="R8" s="57"/>
      <c r="S8" s="57"/>
      <c r="T8" s="57"/>
      <c r="U8" s="5"/>
      <c r="V8" s="31" t="s">
        <v>10</v>
      </c>
      <c r="W8" s="32" t="s">
        <v>23</v>
      </c>
      <c r="X8" s="108" t="s">
        <v>36</v>
      </c>
      <c r="Y8" s="107">
        <v>12</v>
      </c>
      <c r="Z8" s="33">
        <f>H45</f>
        <v>8.6050952384636226</v>
      </c>
      <c r="AA8" s="14"/>
      <c r="AB8" s="14"/>
      <c r="AC8" s="14"/>
    </row>
    <row r="9" spans="2:40" s="15" customFormat="1" ht="15.75" customHeight="1" x14ac:dyDescent="0.2">
      <c r="B9" s="89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8</v>
      </c>
      <c r="C9" s="89">
        <v>3</v>
      </c>
      <c r="D9" s="30" t="s">
        <v>82</v>
      </c>
      <c r="E9" s="88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8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40</v>
      </c>
      <c r="G9" s="49">
        <f t="shared" si="0"/>
        <v>40</v>
      </c>
      <c r="H9" s="48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1800</v>
      </c>
      <c r="I9" s="57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87.7</v>
      </c>
      <c r="J9" s="57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13.6</v>
      </c>
      <c r="K9" s="57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13</v>
      </c>
      <c r="L9" s="57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8.64</v>
      </c>
      <c r="M9" s="57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13.9</v>
      </c>
      <c r="N9" s="57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50.9</v>
      </c>
      <c r="O9" s="57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67.900000000000006</v>
      </c>
      <c r="P9" s="57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8.5599999999999996E-2</v>
      </c>
      <c r="Q9" s="57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1.39</v>
      </c>
      <c r="R9" s="57"/>
      <c r="S9" s="57"/>
      <c r="T9" s="57"/>
      <c r="U9" s="5"/>
      <c r="V9" s="31" t="s">
        <v>33</v>
      </c>
      <c r="W9" s="32" t="s">
        <v>23</v>
      </c>
      <c r="X9" s="106">
        <v>14</v>
      </c>
      <c r="Y9" s="109">
        <v>16</v>
      </c>
      <c r="Z9" s="34">
        <f>I45</f>
        <v>14</v>
      </c>
      <c r="AA9" s="14"/>
      <c r="AB9" s="14"/>
      <c r="AC9" s="14"/>
    </row>
    <row r="10" spans="2:40" s="15" customFormat="1" ht="15.75" customHeight="1" x14ac:dyDescent="0.2">
      <c r="B10" s="89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11</v>
      </c>
      <c r="C10" s="89">
        <v>4</v>
      </c>
      <c r="D10" s="30" t="s">
        <v>64</v>
      </c>
      <c r="E10" s="88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8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49">
        <f t="shared" si="0"/>
        <v>0</v>
      </c>
      <c r="H10" s="48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2000</v>
      </c>
      <c r="I10" s="57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79.8</v>
      </c>
      <c r="J10" s="57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2.4</v>
      </c>
      <c r="K10" s="57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1.87</v>
      </c>
      <c r="L10" s="57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0.32400000000000001</v>
      </c>
      <c r="M10" s="57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8.9</v>
      </c>
      <c r="N10" s="57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86.5</v>
      </c>
      <c r="O10" s="57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78.3</v>
      </c>
      <c r="P10" s="57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0.26</v>
      </c>
      <c r="Q10" s="57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0.16</v>
      </c>
      <c r="R10" s="57"/>
      <c r="S10" s="57"/>
      <c r="T10" s="57"/>
      <c r="U10" s="5"/>
      <c r="V10" s="31" t="s">
        <v>34</v>
      </c>
      <c r="W10" s="32" t="s">
        <v>23</v>
      </c>
      <c r="X10" s="108"/>
      <c r="Y10" s="107">
        <v>6</v>
      </c>
      <c r="Z10" s="34">
        <f>J45</f>
        <v>6.0139847213089395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 x14ac:dyDescent="0.2">
      <c r="B11" s="89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13</v>
      </c>
      <c r="C11" s="89">
        <v>5</v>
      </c>
      <c r="D11" s="30" t="s">
        <v>7</v>
      </c>
      <c r="E11" s="88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8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30</v>
      </c>
      <c r="G11" s="49">
        <f t="shared" si="0"/>
        <v>30</v>
      </c>
      <c r="H11" s="48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2900</v>
      </c>
      <c r="I11" s="57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88.5</v>
      </c>
      <c r="J11" s="57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5.93</v>
      </c>
      <c r="K11" s="57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18.5</v>
      </c>
      <c r="L11" s="57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3.86</v>
      </c>
      <c r="M11" s="57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9.7799999999999994</v>
      </c>
      <c r="N11" s="57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61.9</v>
      </c>
      <c r="O11" s="57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69.2</v>
      </c>
      <c r="P11" s="57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0.23100000000000001</v>
      </c>
      <c r="Q11" s="57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1.1000000000000001</v>
      </c>
      <c r="R11" s="57"/>
      <c r="S11" s="57"/>
      <c r="T11" s="57"/>
      <c r="U11" s="5"/>
      <c r="V11" s="31" t="s">
        <v>35</v>
      </c>
      <c r="W11" s="32" t="s">
        <v>23</v>
      </c>
      <c r="X11" s="108" t="s">
        <v>36</v>
      </c>
      <c r="Y11" s="109">
        <v>21</v>
      </c>
      <c r="Z11" s="35">
        <f>K45</f>
        <v>9.9754496654160061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 x14ac:dyDescent="0.2">
      <c r="B12" s="89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18</v>
      </c>
      <c r="C12" s="89">
        <v>6</v>
      </c>
      <c r="D12" s="30" t="s">
        <v>16</v>
      </c>
      <c r="E12" s="88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88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30</v>
      </c>
      <c r="G12" s="49">
        <f t="shared" si="0"/>
        <v>0</v>
      </c>
      <c r="H12" s="48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57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88.6</v>
      </c>
      <c r="J12" s="57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8.24</v>
      </c>
      <c r="K12" s="57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21.3</v>
      </c>
      <c r="L12" s="57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10.9</v>
      </c>
      <c r="M12" s="57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14.2</v>
      </c>
      <c r="N12" s="57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45.4</v>
      </c>
      <c r="O12" s="57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78.7</v>
      </c>
      <c r="P12" s="57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0.16500000000000001</v>
      </c>
      <c r="Q12" s="57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0.61599999999999999</v>
      </c>
      <c r="R12" s="57"/>
      <c r="S12" s="57"/>
      <c r="T12" s="57"/>
      <c r="U12" s="5"/>
      <c r="V12" s="31" t="s">
        <v>18</v>
      </c>
      <c r="W12" s="32" t="s">
        <v>23</v>
      </c>
      <c r="X12" s="108" t="s">
        <v>36</v>
      </c>
      <c r="Y12" s="107" t="s">
        <v>36</v>
      </c>
      <c r="Z12" s="35">
        <f>L45</f>
        <v>57.739351603295567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 x14ac:dyDescent="0.2">
      <c r="B13" s="89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15</v>
      </c>
      <c r="C13" s="89">
        <v>7</v>
      </c>
      <c r="D13" s="30" t="s">
        <v>43</v>
      </c>
      <c r="E13" s="88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88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35</v>
      </c>
      <c r="G13" s="49">
        <f t="shared" si="0"/>
        <v>0</v>
      </c>
      <c r="H13" s="48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6500</v>
      </c>
      <c r="I13" s="57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88.1</v>
      </c>
      <c r="J13" s="57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8.16</v>
      </c>
      <c r="K13" s="57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46.9</v>
      </c>
      <c r="L13" s="57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2.66</v>
      </c>
      <c r="M13" s="57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5.9</v>
      </c>
      <c r="N13" s="57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36.4</v>
      </c>
      <c r="O13" s="57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83.2</v>
      </c>
      <c r="P13" s="57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0.376</v>
      </c>
      <c r="Q13" s="57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0.71799999999999997</v>
      </c>
      <c r="R13" s="57"/>
      <c r="S13" s="57"/>
      <c r="T13" s="57"/>
      <c r="U13" s="5"/>
      <c r="V13" s="31" t="s">
        <v>75</v>
      </c>
      <c r="W13" s="32" t="s">
        <v>28</v>
      </c>
      <c r="X13" s="108">
        <v>65</v>
      </c>
      <c r="Y13" s="107">
        <v>68</v>
      </c>
      <c r="Z13" s="36">
        <f>M45</f>
        <v>68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 x14ac:dyDescent="0.2">
      <c r="B14" s="89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20</v>
      </c>
      <c r="C14" s="89">
        <v>8</v>
      </c>
      <c r="D14" s="30" t="s">
        <v>67</v>
      </c>
      <c r="E14" s="88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88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20</v>
      </c>
      <c r="G14" s="49">
        <f t="shared" si="0"/>
        <v>2.7310563570958837</v>
      </c>
      <c r="H14" s="48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2000</v>
      </c>
      <c r="I14" s="57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94.6</v>
      </c>
      <c r="J14" s="57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4.5</v>
      </c>
      <c r="K14" s="57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32.299999999999997</v>
      </c>
      <c r="L14" s="57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10.199999999999999</v>
      </c>
      <c r="M14" s="57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17.3</v>
      </c>
      <c r="N14" s="57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35.700000000000003</v>
      </c>
      <c r="O14" s="57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75.400000000000006</v>
      </c>
      <c r="P14" s="57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0.20499999999999999</v>
      </c>
      <c r="Q14" s="57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0.55500000000000005</v>
      </c>
      <c r="R14" s="57"/>
      <c r="S14" s="57"/>
      <c r="T14" s="57"/>
      <c r="U14" s="5"/>
      <c r="V14" s="31" t="s">
        <v>41</v>
      </c>
      <c r="W14" s="32" t="s">
        <v>23</v>
      </c>
      <c r="X14" s="110">
        <v>0.8</v>
      </c>
      <c r="Y14" s="111">
        <v>1</v>
      </c>
      <c r="Z14" s="37">
        <f>N45</f>
        <v>1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 x14ac:dyDescent="0.2">
      <c r="B15" s="89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25</v>
      </c>
      <c r="C15" s="89">
        <v>9</v>
      </c>
      <c r="D15" s="30" t="s">
        <v>85</v>
      </c>
      <c r="E15" s="88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5</v>
      </c>
      <c r="F15" s="88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7</v>
      </c>
      <c r="G15" s="49">
        <f t="shared" si="0"/>
        <v>5</v>
      </c>
      <c r="H15" s="48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2000</v>
      </c>
      <c r="I15" s="57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70.89</v>
      </c>
      <c r="J15" s="57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4</v>
      </c>
      <c r="K15" s="57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4</v>
      </c>
      <c r="L15" s="57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0.1</v>
      </c>
      <c r="M15" s="57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1</v>
      </c>
      <c r="N15" s="57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90.9</v>
      </c>
      <c r="O15" s="57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80</v>
      </c>
      <c r="P15" s="57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0.8</v>
      </c>
      <c r="Q15" s="57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57"/>
      <c r="S15" s="57"/>
      <c r="T15" s="57"/>
      <c r="U15" s="5"/>
      <c r="V15" s="31" t="s">
        <v>77</v>
      </c>
      <c r="W15" s="32" t="s">
        <v>23</v>
      </c>
      <c r="X15" s="108">
        <v>0.6</v>
      </c>
      <c r="Y15" s="107">
        <v>0.8</v>
      </c>
      <c r="Z15" s="37">
        <f>O45</f>
        <v>1.4006947549607398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 x14ac:dyDescent="0.2">
      <c r="B16" s="89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27</v>
      </c>
      <c r="C16" s="89">
        <v>10</v>
      </c>
      <c r="D16" s="30" t="s">
        <v>17</v>
      </c>
      <c r="E16" s="88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88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2</v>
      </c>
      <c r="G16" s="49">
        <f t="shared" si="0"/>
        <v>0.96416089510125058</v>
      </c>
      <c r="H16" s="48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500</v>
      </c>
      <c r="I16" s="57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</v>
      </c>
      <c r="J16" s="57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7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7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7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7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7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7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38</v>
      </c>
      <c r="Q16" s="57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7"/>
      <c r="S16" s="57"/>
      <c r="T16" s="57"/>
      <c r="U16" s="5"/>
      <c r="V16" s="78" t="s">
        <v>37</v>
      </c>
      <c r="W16" s="79" t="s">
        <v>31</v>
      </c>
      <c r="X16" s="77">
        <f>F45</f>
        <v>2656.4193810430229</v>
      </c>
      <c r="Y16" s="79"/>
      <c r="Z16" s="79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 x14ac:dyDescent="0.2">
      <c r="B17" s="89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29</v>
      </c>
      <c r="C17" s="89">
        <v>11</v>
      </c>
      <c r="D17" s="30" t="s">
        <v>88</v>
      </c>
      <c r="E17" s="88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8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49">
        <f t="shared" si="0"/>
        <v>2</v>
      </c>
      <c r="H17" s="48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20000</v>
      </c>
      <c r="I17" s="57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93.5</v>
      </c>
      <c r="J17" s="57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7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7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7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7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7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7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22.72</v>
      </c>
      <c r="Q17" s="57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17.68</v>
      </c>
      <c r="R17" s="57"/>
      <c r="S17" s="57"/>
      <c r="T17" s="57"/>
      <c r="U17" s="5"/>
      <c r="V17" s="81">
        <f ca="1">NOW()</f>
        <v>42090.979192361112</v>
      </c>
      <c r="W17" s="80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 x14ac:dyDescent="0.2">
      <c r="B18" s="89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14</v>
      </c>
      <c r="C18" s="89">
        <v>12</v>
      </c>
      <c r="D18" s="30" t="s">
        <v>54</v>
      </c>
      <c r="E18" s="88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8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30</v>
      </c>
      <c r="G18" s="49">
        <f t="shared" si="0"/>
        <v>0</v>
      </c>
      <c r="H18" s="48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3500</v>
      </c>
      <c r="I18" s="57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32.299999999999997</v>
      </c>
      <c r="J18" s="57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3.3</v>
      </c>
      <c r="K18" s="57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3.3</v>
      </c>
      <c r="L18" s="57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1.51</v>
      </c>
      <c r="M18" s="57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4.1500000000000004</v>
      </c>
      <c r="N18" s="57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87.7</v>
      </c>
      <c r="O18" s="57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81.8</v>
      </c>
      <c r="P18" s="57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0.26</v>
      </c>
      <c r="Q18" s="57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0.16</v>
      </c>
      <c r="R18" s="57"/>
      <c r="S18" s="57"/>
      <c r="T18" s="57"/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 x14ac:dyDescent="0.2">
      <c r="B19" s="89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33</v>
      </c>
      <c r="C19" s="89">
        <v>13</v>
      </c>
      <c r="D19" s="30"/>
      <c r="E19" s="88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8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49">
        <f t="shared" si="0"/>
        <v>0</v>
      </c>
      <c r="H19" s="48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7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7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7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7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7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7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7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7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7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7"/>
      <c r="S19" s="57"/>
      <c r="T19" s="57"/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 x14ac:dyDescent="0.2">
      <c r="B20" s="89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33</v>
      </c>
      <c r="C20" s="89">
        <v>14</v>
      </c>
      <c r="D20" s="30"/>
      <c r="E20" s="88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8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49">
        <f t="shared" si="0"/>
        <v>0</v>
      </c>
      <c r="H20" s="48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7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7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7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7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7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7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7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7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7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7"/>
      <c r="S20" s="57"/>
      <c r="T20" s="57"/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 x14ac:dyDescent="0.2">
      <c r="B21" s="89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89">
        <v>15</v>
      </c>
      <c r="D21" s="30"/>
      <c r="E21" s="88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8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49">
        <f t="shared" si="0"/>
        <v>0</v>
      </c>
      <c r="H21" s="48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7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7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7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7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7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7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7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7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7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7"/>
      <c r="S21" s="57"/>
      <c r="T21" s="57"/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 x14ac:dyDescent="0.2">
      <c r="B22" s="41"/>
      <c r="C22" s="41"/>
      <c r="D22" s="42"/>
      <c r="E22" s="50"/>
      <c r="F22" s="50"/>
      <c r="G22" s="43">
        <f>E45</f>
        <v>99.194192226087978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 x14ac:dyDescent="0.2">
      <c r="B23" s="44"/>
      <c r="C23" s="44"/>
      <c r="D23" s="19"/>
      <c r="E23" s="51"/>
      <c r="F23" s="51"/>
      <c r="G23" s="51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 x14ac:dyDescent="0.2">
      <c r="B24" s="44"/>
      <c r="C24" s="44"/>
      <c r="D24" s="19"/>
      <c r="E24" s="51"/>
      <c r="F24" s="51"/>
      <c r="G24" s="51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x14ac:dyDescent="0.2">
      <c r="B25" s="23"/>
      <c r="C25" s="23"/>
      <c r="D25" s="19"/>
      <c r="E25" s="51"/>
      <c r="F25" s="51"/>
      <c r="G25" s="51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 x14ac:dyDescent="0.2">
      <c r="B26" s="23"/>
      <c r="C26" s="23"/>
      <c r="D26" s="19"/>
      <c r="E26" s="51"/>
      <c r="F26" s="51"/>
      <c r="G26" s="51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.25" hidden="1" x14ac:dyDescent="0.3">
      <c r="B27" s="24"/>
      <c r="C27" s="24" t="s">
        <v>40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 x14ac:dyDescent="0.2">
      <c r="B28" s="58" t="s">
        <v>51</v>
      </c>
      <c r="C28" s="58" t="s">
        <v>0</v>
      </c>
      <c r="D28" s="59" t="s">
        <v>19</v>
      </c>
      <c r="E28" s="60" t="s">
        <v>23</v>
      </c>
      <c r="F28" s="60" t="s">
        <v>8</v>
      </c>
      <c r="G28" s="60" t="s">
        <v>9</v>
      </c>
      <c r="H28" s="60" t="s">
        <v>10</v>
      </c>
      <c r="I28" s="60" t="s">
        <v>11</v>
      </c>
      <c r="J28" s="60" t="s">
        <v>12</v>
      </c>
      <c r="K28" s="60" t="s">
        <v>13</v>
      </c>
      <c r="L28" s="60" t="s">
        <v>18</v>
      </c>
      <c r="M28" s="60" t="s">
        <v>75</v>
      </c>
      <c r="N28" s="60" t="s">
        <v>2</v>
      </c>
      <c r="O28" s="60" t="s">
        <v>5</v>
      </c>
      <c r="P28" s="60"/>
      <c r="Q28" s="60"/>
      <c r="R28" s="60"/>
      <c r="S28" s="60"/>
      <c r="T28" s="60"/>
      <c r="V28" s="19"/>
      <c r="W28" s="19"/>
      <c r="X28" s="19"/>
    </row>
    <row r="29" spans="2:40" s="15" customFormat="1" ht="16.5" hidden="1" customHeight="1" x14ac:dyDescent="0.2">
      <c r="B29" s="32">
        <f>B7</f>
        <v>10</v>
      </c>
      <c r="C29" s="32">
        <v>1</v>
      </c>
      <c r="D29" s="61" t="str">
        <f>D7</f>
        <v>Bekatul</v>
      </c>
      <c r="E29" s="62">
        <v>8.4989749738908564</v>
      </c>
      <c r="F29" s="63">
        <f>$E29/100*H7</f>
        <v>186.97744942559885</v>
      </c>
      <c r="G29" s="63">
        <f>$E29/100*I7</f>
        <v>7.4790979770239536</v>
      </c>
      <c r="H29" s="63">
        <f t="shared" ref="H29:O29" si="1">$E29/100*J7</f>
        <v>0.84819770239430747</v>
      </c>
      <c r="I29" s="63">
        <f t="shared" si="1"/>
        <v>1.0878687966580296</v>
      </c>
      <c r="J29" s="63">
        <f t="shared" si="1"/>
        <v>0.68841697288515935</v>
      </c>
      <c r="K29" s="63">
        <f t="shared" si="1"/>
        <v>0.60597691563841805</v>
      </c>
      <c r="L29" s="63">
        <f t="shared" si="1"/>
        <v>5.269364483812331</v>
      </c>
      <c r="M29" s="63">
        <f t="shared" si="1"/>
        <v>5.9407835067497095</v>
      </c>
      <c r="N29" s="63">
        <f t="shared" si="1"/>
        <v>6.6801943294782134E-3</v>
      </c>
      <c r="O29" s="63">
        <f t="shared" si="1"/>
        <v>0.10453739217885753</v>
      </c>
      <c r="P29" s="63"/>
      <c r="Q29" s="63"/>
      <c r="R29" s="63"/>
      <c r="S29" s="63">
        <f>E7</f>
        <v>0</v>
      </c>
      <c r="T29" s="63">
        <f>F7</f>
        <v>30</v>
      </c>
      <c r="V29" s="19"/>
      <c r="W29" s="19"/>
      <c r="X29" s="19"/>
    </row>
    <row r="30" spans="2:40" s="15" customFormat="1" ht="16.5" hidden="1" customHeight="1" x14ac:dyDescent="0.2">
      <c r="B30" s="32">
        <f t="shared" ref="B30:D43" si="2">B8</f>
        <v>7</v>
      </c>
      <c r="C30" s="32">
        <v>2</v>
      </c>
      <c r="D30" s="61" t="str">
        <f t="shared" si="2"/>
        <v>Jagung</v>
      </c>
      <c r="E30" s="62">
        <v>10</v>
      </c>
      <c r="F30" s="63">
        <f t="shared" ref="F30:O43" si="3">$E30/100*H8</f>
        <v>320</v>
      </c>
      <c r="G30" s="63">
        <f t="shared" si="3"/>
        <v>8.68</v>
      </c>
      <c r="H30" s="63">
        <f t="shared" si="3"/>
        <v>0.215</v>
      </c>
      <c r="I30" s="63">
        <f t="shared" si="3"/>
        <v>1.08</v>
      </c>
      <c r="J30" s="63">
        <f t="shared" si="3"/>
        <v>0.42800000000000005</v>
      </c>
      <c r="K30" s="63">
        <f t="shared" si="3"/>
        <v>0.35299999999999998</v>
      </c>
      <c r="L30" s="63">
        <f t="shared" si="3"/>
        <v>8.0200000000000014</v>
      </c>
      <c r="M30" s="63">
        <f t="shared" si="3"/>
        <v>8.08</v>
      </c>
      <c r="N30" s="63">
        <f t="shared" si="3"/>
        <v>2.3400000000000004E-2</v>
      </c>
      <c r="O30" s="63">
        <f t="shared" si="3"/>
        <v>4.1399999999999999E-2</v>
      </c>
      <c r="P30" s="63"/>
      <c r="Q30" s="63"/>
      <c r="R30" s="63"/>
      <c r="S30" s="63">
        <f t="shared" ref="S30:T43" si="4">E8</f>
        <v>10</v>
      </c>
      <c r="T30" s="63">
        <f t="shared" si="4"/>
        <v>50</v>
      </c>
      <c r="V30" s="19"/>
      <c r="W30" s="19"/>
      <c r="X30" s="19"/>
    </row>
    <row r="31" spans="2:40" s="15" customFormat="1" ht="16.5" hidden="1" customHeight="1" x14ac:dyDescent="0.2">
      <c r="B31" s="32">
        <f t="shared" si="2"/>
        <v>8</v>
      </c>
      <c r="C31" s="32">
        <v>3</v>
      </c>
      <c r="D31" s="61" t="str">
        <f t="shared" si="2"/>
        <v>Dedak Padi</v>
      </c>
      <c r="E31" s="62">
        <v>40</v>
      </c>
      <c r="F31" s="63">
        <f t="shared" si="3"/>
        <v>720</v>
      </c>
      <c r="G31" s="63">
        <f t="shared" si="3"/>
        <v>35.080000000000005</v>
      </c>
      <c r="H31" s="63">
        <f t="shared" si="3"/>
        <v>5.44</v>
      </c>
      <c r="I31" s="63">
        <f t="shared" si="3"/>
        <v>5.2</v>
      </c>
      <c r="J31" s="63">
        <f t="shared" si="3"/>
        <v>3.4560000000000004</v>
      </c>
      <c r="K31" s="63">
        <f t="shared" si="3"/>
        <v>5.5600000000000005</v>
      </c>
      <c r="L31" s="63">
        <f t="shared" si="3"/>
        <v>20.36</v>
      </c>
      <c r="M31" s="63">
        <f t="shared" si="3"/>
        <v>27.160000000000004</v>
      </c>
      <c r="N31" s="63">
        <f t="shared" si="3"/>
        <v>3.424E-2</v>
      </c>
      <c r="O31" s="63">
        <f t="shared" si="3"/>
        <v>0.55599999999999994</v>
      </c>
      <c r="P31" s="63"/>
      <c r="Q31" s="63"/>
      <c r="R31" s="63"/>
      <c r="S31" s="63">
        <f t="shared" si="4"/>
        <v>0</v>
      </c>
      <c r="T31" s="63">
        <f t="shared" si="4"/>
        <v>40</v>
      </c>
      <c r="V31" s="19"/>
      <c r="W31" s="19"/>
      <c r="X31" s="19"/>
    </row>
    <row r="32" spans="2:40" s="15" customFormat="1" ht="16.5" hidden="1" customHeight="1" x14ac:dyDescent="0.2">
      <c r="B32" s="32">
        <f t="shared" si="2"/>
        <v>11</v>
      </c>
      <c r="C32" s="32">
        <v>4</v>
      </c>
      <c r="D32" s="61" t="str">
        <f t="shared" si="2"/>
        <v>Onggok</v>
      </c>
      <c r="E32" s="62">
        <v>0</v>
      </c>
      <c r="F32" s="63">
        <f t="shared" si="3"/>
        <v>0</v>
      </c>
      <c r="G32" s="63">
        <f t="shared" si="3"/>
        <v>0</v>
      </c>
      <c r="H32" s="63">
        <f t="shared" si="3"/>
        <v>0</v>
      </c>
      <c r="I32" s="63">
        <f t="shared" si="3"/>
        <v>0</v>
      </c>
      <c r="J32" s="63">
        <f t="shared" si="3"/>
        <v>0</v>
      </c>
      <c r="K32" s="63">
        <f t="shared" si="3"/>
        <v>0</v>
      </c>
      <c r="L32" s="63">
        <f t="shared" si="3"/>
        <v>0</v>
      </c>
      <c r="M32" s="63">
        <f t="shared" si="3"/>
        <v>0</v>
      </c>
      <c r="N32" s="63">
        <f t="shared" si="3"/>
        <v>0</v>
      </c>
      <c r="O32" s="63">
        <f t="shared" si="3"/>
        <v>0</v>
      </c>
      <c r="P32" s="63"/>
      <c r="Q32" s="63"/>
      <c r="R32" s="63"/>
      <c r="S32" s="63">
        <f t="shared" si="4"/>
        <v>0</v>
      </c>
      <c r="T32" s="63">
        <f t="shared" si="4"/>
        <v>40</v>
      </c>
      <c r="V32" s="19"/>
      <c r="W32" s="19"/>
      <c r="X32" s="19"/>
    </row>
    <row r="33" spans="2:24" s="15" customFormat="1" ht="16.5" hidden="1" customHeight="1" x14ac:dyDescent="0.2">
      <c r="B33" s="32">
        <f t="shared" si="2"/>
        <v>13</v>
      </c>
      <c r="C33" s="32">
        <v>5</v>
      </c>
      <c r="D33" s="61" t="str">
        <f t="shared" si="2"/>
        <v>Pollard</v>
      </c>
      <c r="E33" s="62">
        <v>30</v>
      </c>
      <c r="F33" s="63">
        <f t="shared" si="3"/>
        <v>870</v>
      </c>
      <c r="G33" s="63">
        <f t="shared" si="3"/>
        <v>26.55</v>
      </c>
      <c r="H33" s="63">
        <f t="shared" si="3"/>
        <v>1.7789999999999999</v>
      </c>
      <c r="I33" s="63">
        <f t="shared" si="3"/>
        <v>5.55</v>
      </c>
      <c r="J33" s="63">
        <f t="shared" si="3"/>
        <v>1.1579999999999999</v>
      </c>
      <c r="K33" s="63">
        <f t="shared" si="3"/>
        <v>2.9339999999999997</v>
      </c>
      <c r="L33" s="63">
        <f t="shared" si="3"/>
        <v>18.57</v>
      </c>
      <c r="M33" s="63">
        <f t="shared" si="3"/>
        <v>20.76</v>
      </c>
      <c r="N33" s="63">
        <f t="shared" si="3"/>
        <v>6.93E-2</v>
      </c>
      <c r="O33" s="63">
        <f t="shared" si="3"/>
        <v>0.33</v>
      </c>
      <c r="P33" s="63"/>
      <c r="Q33" s="63"/>
      <c r="R33" s="63"/>
      <c r="S33" s="63">
        <f t="shared" si="4"/>
        <v>0</v>
      </c>
      <c r="T33" s="63">
        <f t="shared" si="4"/>
        <v>30</v>
      </c>
      <c r="V33" s="19"/>
      <c r="W33" s="19"/>
      <c r="X33" s="19"/>
    </row>
    <row r="34" spans="2:24" s="15" customFormat="1" ht="16.5" hidden="1" customHeight="1" x14ac:dyDescent="0.2">
      <c r="B34" s="32">
        <f t="shared" si="2"/>
        <v>18</v>
      </c>
      <c r="C34" s="32">
        <v>6</v>
      </c>
      <c r="D34" s="61" t="str">
        <f t="shared" si="2"/>
        <v>Bungkil Kelapa</v>
      </c>
      <c r="E34" s="62">
        <v>0</v>
      </c>
      <c r="F34" s="63">
        <f t="shared" si="3"/>
        <v>0</v>
      </c>
      <c r="G34" s="63">
        <f t="shared" si="3"/>
        <v>0</v>
      </c>
      <c r="H34" s="63">
        <f t="shared" si="3"/>
        <v>0</v>
      </c>
      <c r="I34" s="63">
        <f t="shared" si="3"/>
        <v>0</v>
      </c>
      <c r="J34" s="63">
        <f t="shared" si="3"/>
        <v>0</v>
      </c>
      <c r="K34" s="63">
        <f t="shared" si="3"/>
        <v>0</v>
      </c>
      <c r="L34" s="63">
        <f t="shared" si="3"/>
        <v>0</v>
      </c>
      <c r="M34" s="63">
        <f t="shared" si="3"/>
        <v>0</v>
      </c>
      <c r="N34" s="63">
        <f t="shared" si="3"/>
        <v>0</v>
      </c>
      <c r="O34" s="63">
        <f t="shared" si="3"/>
        <v>0</v>
      </c>
      <c r="P34" s="63"/>
      <c r="Q34" s="63"/>
      <c r="R34" s="63"/>
      <c r="S34" s="63">
        <f t="shared" si="4"/>
        <v>0</v>
      </c>
      <c r="T34" s="63">
        <f t="shared" si="4"/>
        <v>30</v>
      </c>
      <c r="V34" s="19"/>
      <c r="W34" s="19"/>
      <c r="X34" s="19"/>
    </row>
    <row r="35" spans="2:24" s="15" customFormat="1" ht="16.5" hidden="1" customHeight="1" x14ac:dyDescent="0.2">
      <c r="B35" s="32">
        <f t="shared" si="2"/>
        <v>15</v>
      </c>
      <c r="C35" s="32">
        <v>7</v>
      </c>
      <c r="D35" s="61" t="str">
        <f t="shared" si="2"/>
        <v>Bungkil Kedelai</v>
      </c>
      <c r="E35" s="62">
        <v>0</v>
      </c>
      <c r="F35" s="63">
        <f t="shared" si="3"/>
        <v>0</v>
      </c>
      <c r="G35" s="63">
        <f t="shared" si="3"/>
        <v>0</v>
      </c>
      <c r="H35" s="63">
        <f t="shared" si="3"/>
        <v>0</v>
      </c>
      <c r="I35" s="63">
        <f t="shared" si="3"/>
        <v>0</v>
      </c>
      <c r="J35" s="63">
        <f t="shared" si="3"/>
        <v>0</v>
      </c>
      <c r="K35" s="63">
        <f t="shared" si="3"/>
        <v>0</v>
      </c>
      <c r="L35" s="63">
        <f t="shared" si="3"/>
        <v>0</v>
      </c>
      <c r="M35" s="63">
        <f t="shared" si="3"/>
        <v>0</v>
      </c>
      <c r="N35" s="63">
        <f t="shared" si="3"/>
        <v>0</v>
      </c>
      <c r="O35" s="63">
        <f t="shared" si="3"/>
        <v>0</v>
      </c>
      <c r="P35" s="63"/>
      <c r="Q35" s="63"/>
      <c r="R35" s="63"/>
      <c r="S35" s="63">
        <f t="shared" si="4"/>
        <v>0</v>
      </c>
      <c r="T35" s="63">
        <f t="shared" si="4"/>
        <v>35</v>
      </c>
      <c r="V35" s="19"/>
      <c r="W35" s="19"/>
      <c r="X35" s="19"/>
    </row>
    <row r="36" spans="2:24" s="15" customFormat="1" ht="16.5" hidden="1" customHeight="1" x14ac:dyDescent="0.2">
      <c r="B36" s="32">
        <f t="shared" si="2"/>
        <v>20</v>
      </c>
      <c r="C36" s="32">
        <v>8</v>
      </c>
      <c r="D36" s="61" t="str">
        <f t="shared" si="2"/>
        <v>Ampas Bir Kering</v>
      </c>
      <c r="E36" s="62">
        <v>2.7310563570958837</v>
      </c>
      <c r="F36" s="63">
        <f t="shared" si="3"/>
        <v>54.621127141917668</v>
      </c>
      <c r="G36" s="63">
        <f t="shared" si="3"/>
        <v>2.5835793138127054</v>
      </c>
      <c r="H36" s="63">
        <f t="shared" si="3"/>
        <v>0.12289753606931476</v>
      </c>
      <c r="I36" s="63">
        <f t="shared" si="3"/>
        <v>0.88213120334197026</v>
      </c>
      <c r="J36" s="63">
        <f t="shared" si="3"/>
        <v>0.27856774842378013</v>
      </c>
      <c r="K36" s="63">
        <f t="shared" si="3"/>
        <v>0.47247274977758785</v>
      </c>
      <c r="L36" s="63">
        <f t="shared" si="3"/>
        <v>0.97498711948323047</v>
      </c>
      <c r="M36" s="63">
        <f t="shared" si="3"/>
        <v>2.0592164932502963</v>
      </c>
      <c r="N36" s="63">
        <f t="shared" si="3"/>
        <v>5.5986655320465605E-3</v>
      </c>
      <c r="O36" s="63">
        <f t="shared" si="3"/>
        <v>1.5157362781882155E-2</v>
      </c>
      <c r="P36" s="63"/>
      <c r="Q36" s="63"/>
      <c r="R36" s="63"/>
      <c r="S36" s="63">
        <f t="shared" si="4"/>
        <v>0</v>
      </c>
      <c r="T36" s="63">
        <f t="shared" si="4"/>
        <v>20</v>
      </c>
      <c r="V36" s="19"/>
      <c r="W36" s="19"/>
      <c r="X36" s="19"/>
    </row>
    <row r="37" spans="2:24" s="15" customFormat="1" ht="16.5" hidden="1" customHeight="1" x14ac:dyDescent="0.2">
      <c r="B37" s="32">
        <f t="shared" si="2"/>
        <v>25</v>
      </c>
      <c r="C37" s="32">
        <v>9</v>
      </c>
      <c r="D37" s="61" t="str">
        <f t="shared" si="2"/>
        <v>Molases</v>
      </c>
      <c r="E37" s="62">
        <v>5</v>
      </c>
      <c r="F37" s="63">
        <f t="shared" si="3"/>
        <v>100</v>
      </c>
      <c r="G37" s="63">
        <f t="shared" si="3"/>
        <v>3.5445000000000002</v>
      </c>
      <c r="H37" s="63">
        <f t="shared" si="3"/>
        <v>0.2</v>
      </c>
      <c r="I37" s="63">
        <f t="shared" si="3"/>
        <v>0.2</v>
      </c>
      <c r="J37" s="63">
        <f t="shared" si="3"/>
        <v>5.000000000000001E-3</v>
      </c>
      <c r="K37" s="63">
        <f t="shared" si="3"/>
        <v>0.05</v>
      </c>
      <c r="L37" s="63">
        <f t="shared" si="3"/>
        <v>4.5450000000000008</v>
      </c>
      <c r="M37" s="63">
        <f t="shared" si="3"/>
        <v>4</v>
      </c>
      <c r="N37" s="63">
        <f t="shared" si="3"/>
        <v>4.0000000000000008E-2</v>
      </c>
      <c r="O37" s="63">
        <f t="shared" si="3"/>
        <v>0</v>
      </c>
      <c r="P37" s="63"/>
      <c r="Q37" s="63"/>
      <c r="R37" s="63"/>
      <c r="S37" s="63">
        <f t="shared" si="4"/>
        <v>5</v>
      </c>
      <c r="T37" s="63">
        <f t="shared" si="4"/>
        <v>7</v>
      </c>
      <c r="V37" s="19"/>
      <c r="W37" s="19"/>
      <c r="X37" s="19"/>
    </row>
    <row r="38" spans="2:24" s="15" customFormat="1" ht="16.5" hidden="1" customHeight="1" x14ac:dyDescent="0.2">
      <c r="B38" s="32">
        <f t="shared" si="2"/>
        <v>27</v>
      </c>
      <c r="C38" s="32">
        <v>10</v>
      </c>
      <c r="D38" s="61" t="str">
        <f t="shared" si="2"/>
        <v>Kapur</v>
      </c>
      <c r="E38" s="62">
        <v>0.96416089510125058</v>
      </c>
      <c r="F38" s="63">
        <f t="shared" si="3"/>
        <v>4.8208044755062529</v>
      </c>
      <c r="G38" s="63">
        <f t="shared" si="3"/>
        <v>0.95451928615023807</v>
      </c>
      <c r="H38" s="63">
        <f t="shared" si="3"/>
        <v>0</v>
      </c>
      <c r="I38" s="63">
        <f t="shared" si="3"/>
        <v>0</v>
      </c>
      <c r="J38" s="63">
        <f t="shared" si="3"/>
        <v>0</v>
      </c>
      <c r="K38" s="63">
        <f t="shared" si="3"/>
        <v>0</v>
      </c>
      <c r="L38" s="63">
        <f t="shared" si="3"/>
        <v>0</v>
      </c>
      <c r="M38" s="63">
        <f t="shared" si="3"/>
        <v>0</v>
      </c>
      <c r="N38" s="63">
        <f t="shared" si="3"/>
        <v>0.36638114013847523</v>
      </c>
      <c r="O38" s="63">
        <f t="shared" si="3"/>
        <v>0</v>
      </c>
      <c r="P38" s="63"/>
      <c r="Q38" s="63"/>
      <c r="R38" s="63"/>
      <c r="S38" s="63">
        <f t="shared" si="4"/>
        <v>0</v>
      </c>
      <c r="T38" s="63">
        <f t="shared" si="4"/>
        <v>2</v>
      </c>
      <c r="V38" s="19"/>
      <c r="W38" s="19"/>
      <c r="X38" s="19"/>
    </row>
    <row r="39" spans="2:24" s="15" customFormat="1" ht="16.5" hidden="1" customHeight="1" x14ac:dyDescent="0.2">
      <c r="B39" s="32">
        <f t="shared" si="2"/>
        <v>29</v>
      </c>
      <c r="C39" s="32">
        <v>11</v>
      </c>
      <c r="D39" s="61" t="str">
        <f t="shared" si="2"/>
        <v>DCP</v>
      </c>
      <c r="E39" s="62">
        <v>2</v>
      </c>
      <c r="F39" s="63">
        <f t="shared" si="3"/>
        <v>400</v>
      </c>
      <c r="G39" s="63">
        <f t="shared" si="3"/>
        <v>1.87</v>
      </c>
      <c r="H39" s="63">
        <f t="shared" si="3"/>
        <v>0</v>
      </c>
      <c r="I39" s="63">
        <f t="shared" si="3"/>
        <v>0</v>
      </c>
      <c r="J39" s="63">
        <f t="shared" si="3"/>
        <v>0</v>
      </c>
      <c r="K39" s="63">
        <f t="shared" si="3"/>
        <v>0</v>
      </c>
      <c r="L39" s="63">
        <f t="shared" si="3"/>
        <v>0</v>
      </c>
      <c r="M39" s="63">
        <f t="shared" si="3"/>
        <v>0</v>
      </c>
      <c r="N39" s="63">
        <f t="shared" si="3"/>
        <v>0.45439999999999997</v>
      </c>
      <c r="O39" s="63">
        <f t="shared" si="3"/>
        <v>0.35360000000000003</v>
      </c>
      <c r="P39" s="63"/>
      <c r="Q39" s="63"/>
      <c r="R39" s="63"/>
      <c r="S39" s="63">
        <f t="shared" si="4"/>
        <v>0</v>
      </c>
      <c r="T39" s="63">
        <f t="shared" si="4"/>
        <v>2</v>
      </c>
      <c r="V39" s="19"/>
      <c r="W39" s="19"/>
      <c r="X39" s="19"/>
    </row>
    <row r="40" spans="2:24" s="15" customFormat="1" ht="16.5" hidden="1" customHeight="1" x14ac:dyDescent="0.2">
      <c r="B40" s="32">
        <f t="shared" si="2"/>
        <v>14</v>
      </c>
      <c r="C40" s="32">
        <v>12</v>
      </c>
      <c r="D40" s="61" t="str">
        <f t="shared" si="2"/>
        <v>Singkong</v>
      </c>
      <c r="E40" s="62">
        <v>0</v>
      </c>
      <c r="F40" s="63">
        <f t="shared" si="3"/>
        <v>0</v>
      </c>
      <c r="G40" s="63">
        <f t="shared" si="3"/>
        <v>0</v>
      </c>
      <c r="H40" s="63">
        <f t="shared" si="3"/>
        <v>0</v>
      </c>
      <c r="I40" s="63">
        <f t="shared" si="3"/>
        <v>0</v>
      </c>
      <c r="J40" s="63">
        <f t="shared" si="3"/>
        <v>0</v>
      </c>
      <c r="K40" s="63">
        <f t="shared" si="3"/>
        <v>0</v>
      </c>
      <c r="L40" s="63">
        <f t="shared" si="3"/>
        <v>0</v>
      </c>
      <c r="M40" s="63">
        <f t="shared" si="3"/>
        <v>0</v>
      </c>
      <c r="N40" s="63">
        <f t="shared" si="3"/>
        <v>0</v>
      </c>
      <c r="O40" s="63">
        <f t="shared" si="3"/>
        <v>0</v>
      </c>
      <c r="P40" s="63"/>
      <c r="Q40" s="63"/>
      <c r="R40" s="63"/>
      <c r="S40" s="63">
        <f t="shared" si="4"/>
        <v>0</v>
      </c>
      <c r="T40" s="63">
        <f t="shared" si="4"/>
        <v>30</v>
      </c>
      <c r="V40" s="19"/>
      <c r="W40" s="19"/>
      <c r="X40" s="19"/>
    </row>
    <row r="41" spans="2:24" s="15" customFormat="1" ht="16.5" hidden="1" customHeight="1" x14ac:dyDescent="0.2">
      <c r="B41" s="32">
        <f t="shared" si="2"/>
        <v>33</v>
      </c>
      <c r="C41" s="32">
        <v>13</v>
      </c>
      <c r="D41" s="61">
        <f t="shared" si="2"/>
        <v>0</v>
      </c>
      <c r="E41" s="62">
        <v>0</v>
      </c>
      <c r="F41" s="63">
        <f t="shared" si="3"/>
        <v>0</v>
      </c>
      <c r="G41" s="63">
        <f t="shared" si="3"/>
        <v>0</v>
      </c>
      <c r="H41" s="63">
        <f t="shared" si="3"/>
        <v>0</v>
      </c>
      <c r="I41" s="63">
        <f t="shared" si="3"/>
        <v>0</v>
      </c>
      <c r="J41" s="63">
        <f t="shared" si="3"/>
        <v>0</v>
      </c>
      <c r="K41" s="63">
        <f t="shared" si="3"/>
        <v>0</v>
      </c>
      <c r="L41" s="63">
        <f t="shared" si="3"/>
        <v>0</v>
      </c>
      <c r="M41" s="63">
        <f t="shared" si="3"/>
        <v>0</v>
      </c>
      <c r="N41" s="63">
        <f t="shared" si="3"/>
        <v>0</v>
      </c>
      <c r="O41" s="63">
        <f t="shared" si="3"/>
        <v>0</v>
      </c>
      <c r="P41" s="63"/>
      <c r="Q41" s="63"/>
      <c r="R41" s="63"/>
      <c r="S41" s="63">
        <f t="shared" si="4"/>
        <v>0</v>
      </c>
      <c r="T41" s="63">
        <f t="shared" si="4"/>
        <v>0</v>
      </c>
      <c r="V41" s="19"/>
      <c r="W41" s="19"/>
      <c r="X41" s="19"/>
    </row>
    <row r="42" spans="2:24" s="15" customFormat="1" ht="16.5" hidden="1" customHeight="1" x14ac:dyDescent="0.2">
      <c r="B42" s="32">
        <f t="shared" si="2"/>
        <v>33</v>
      </c>
      <c r="C42" s="32">
        <v>14</v>
      </c>
      <c r="D42" s="61">
        <f t="shared" si="2"/>
        <v>0</v>
      </c>
      <c r="E42" s="62">
        <v>0</v>
      </c>
      <c r="F42" s="63">
        <f t="shared" si="3"/>
        <v>0</v>
      </c>
      <c r="G42" s="63">
        <f t="shared" si="3"/>
        <v>0</v>
      </c>
      <c r="H42" s="63">
        <f t="shared" si="3"/>
        <v>0</v>
      </c>
      <c r="I42" s="63">
        <f t="shared" si="3"/>
        <v>0</v>
      </c>
      <c r="J42" s="63">
        <f t="shared" si="3"/>
        <v>0</v>
      </c>
      <c r="K42" s="63">
        <f t="shared" si="3"/>
        <v>0</v>
      </c>
      <c r="L42" s="63">
        <f t="shared" si="3"/>
        <v>0</v>
      </c>
      <c r="M42" s="63">
        <f t="shared" si="3"/>
        <v>0</v>
      </c>
      <c r="N42" s="63">
        <f t="shared" si="3"/>
        <v>0</v>
      </c>
      <c r="O42" s="63">
        <f t="shared" si="3"/>
        <v>0</v>
      </c>
      <c r="P42" s="63"/>
      <c r="Q42" s="63"/>
      <c r="R42" s="63"/>
      <c r="S42" s="63">
        <f t="shared" si="4"/>
        <v>0</v>
      </c>
      <c r="T42" s="63">
        <f t="shared" si="4"/>
        <v>0</v>
      </c>
      <c r="V42" s="19"/>
      <c r="W42" s="19"/>
      <c r="X42" s="19"/>
    </row>
    <row r="43" spans="2:24" s="15" customFormat="1" ht="16.5" hidden="1" customHeight="1" x14ac:dyDescent="0.2">
      <c r="B43" s="32">
        <f t="shared" si="2"/>
        <v>33</v>
      </c>
      <c r="C43" s="32">
        <v>15</v>
      </c>
      <c r="D43" s="61">
        <f t="shared" si="2"/>
        <v>0</v>
      </c>
      <c r="E43" s="62">
        <v>0</v>
      </c>
      <c r="F43" s="63">
        <f t="shared" si="3"/>
        <v>0</v>
      </c>
      <c r="G43" s="63">
        <f t="shared" si="3"/>
        <v>0</v>
      </c>
      <c r="H43" s="63">
        <f t="shared" si="3"/>
        <v>0</v>
      </c>
      <c r="I43" s="63">
        <f t="shared" si="3"/>
        <v>0</v>
      </c>
      <c r="J43" s="63">
        <f t="shared" si="3"/>
        <v>0</v>
      </c>
      <c r="K43" s="63">
        <f t="shared" si="3"/>
        <v>0</v>
      </c>
      <c r="L43" s="63">
        <f t="shared" si="3"/>
        <v>0</v>
      </c>
      <c r="M43" s="63">
        <f t="shared" si="3"/>
        <v>0</v>
      </c>
      <c r="N43" s="63">
        <f t="shared" si="3"/>
        <v>0</v>
      </c>
      <c r="O43" s="63">
        <f t="shared" si="3"/>
        <v>0</v>
      </c>
      <c r="P43" s="63"/>
      <c r="Q43" s="63"/>
      <c r="R43" s="63"/>
      <c r="S43" s="63">
        <f t="shared" si="4"/>
        <v>0</v>
      </c>
      <c r="T43" s="63">
        <f t="shared" si="4"/>
        <v>0</v>
      </c>
      <c r="V43" s="19"/>
      <c r="W43" s="19"/>
      <c r="X43" s="19"/>
    </row>
    <row r="44" spans="2:24" s="15" customFormat="1" ht="16.5" hidden="1" customHeight="1" x14ac:dyDescent="0.2">
      <c r="B44" s="25"/>
      <c r="C44" s="25"/>
      <c r="D44" s="26" t="s">
        <v>24</v>
      </c>
      <c r="E44" s="53">
        <v>100</v>
      </c>
      <c r="F44" s="54"/>
      <c r="G44" s="53">
        <f>X7</f>
        <v>86</v>
      </c>
      <c r="H44" s="53"/>
      <c r="I44" s="53">
        <f>X9</f>
        <v>14</v>
      </c>
      <c r="J44" s="53">
        <f>X10</f>
        <v>0</v>
      </c>
      <c r="K44" s="53"/>
      <c r="L44" s="53"/>
      <c r="M44" s="54">
        <f>X13</f>
        <v>65</v>
      </c>
      <c r="N44" s="53">
        <f>X14</f>
        <v>0.8</v>
      </c>
      <c r="O44" s="53">
        <f>X15</f>
        <v>0.6</v>
      </c>
      <c r="P44" s="53"/>
      <c r="Q44" s="55"/>
      <c r="R44" s="55"/>
      <c r="S44" s="3"/>
      <c r="T44" s="52"/>
      <c r="V44" s="19"/>
      <c r="W44" s="19"/>
      <c r="X44" s="19"/>
    </row>
    <row r="45" spans="2:24" s="27" customFormat="1" ht="16.5" hidden="1" customHeight="1" x14ac:dyDescent="0.2">
      <c r="B45" s="39"/>
      <c r="C45" s="39"/>
      <c r="D45" s="65" t="s">
        <v>20</v>
      </c>
      <c r="E45" s="66">
        <f>SUM(E29:E43)</f>
        <v>99.194192226087978</v>
      </c>
      <c r="F45" s="67">
        <f t="shared" ref="F45:O45" si="5">SUM(F29:F43)</f>
        <v>2656.4193810430229</v>
      </c>
      <c r="G45" s="66">
        <f t="shared" si="5"/>
        <v>86.741696576986911</v>
      </c>
      <c r="H45" s="68">
        <f t="shared" si="5"/>
        <v>8.6050952384636226</v>
      </c>
      <c r="I45" s="69">
        <f t="shared" si="5"/>
        <v>14</v>
      </c>
      <c r="J45" s="68">
        <f>SUM(J29:J44)</f>
        <v>6.0139847213089395</v>
      </c>
      <c r="K45" s="69">
        <f t="shared" si="5"/>
        <v>9.9754496654160061</v>
      </c>
      <c r="L45" s="69">
        <f t="shared" si="5"/>
        <v>57.739351603295567</v>
      </c>
      <c r="M45" s="70">
        <f t="shared" si="5"/>
        <v>68</v>
      </c>
      <c r="N45" s="66">
        <f t="shared" si="5"/>
        <v>1</v>
      </c>
      <c r="O45" s="66">
        <f t="shared" si="5"/>
        <v>1.4006947549607398</v>
      </c>
      <c r="P45" s="66"/>
      <c r="Q45" s="71"/>
      <c r="R45" s="71"/>
      <c r="S45" s="60"/>
      <c r="T45" s="72"/>
      <c r="V45" s="19"/>
      <c r="W45" s="19"/>
      <c r="X45" s="19"/>
    </row>
    <row r="46" spans="2:24" s="27" customFormat="1" ht="16.5" hidden="1" customHeight="1" x14ac:dyDescent="0.2">
      <c r="B46" s="25"/>
      <c r="C46" s="25"/>
      <c r="D46" s="26" t="s">
        <v>25</v>
      </c>
      <c r="E46" s="56"/>
      <c r="F46" s="54"/>
      <c r="G46" s="54"/>
      <c r="H46" s="53"/>
      <c r="I46" s="53">
        <f>Y9</f>
        <v>16</v>
      </c>
      <c r="J46" s="53">
        <f>Y10</f>
        <v>6</v>
      </c>
      <c r="K46" s="53">
        <f>Y11</f>
        <v>21</v>
      </c>
      <c r="L46" s="53"/>
      <c r="M46" s="54">
        <f>Y13</f>
        <v>68</v>
      </c>
      <c r="N46" s="53">
        <f>Y14</f>
        <v>1</v>
      </c>
      <c r="O46" s="54">
        <f>Y15</f>
        <v>0.8</v>
      </c>
      <c r="P46" s="53"/>
      <c r="Q46" s="55"/>
      <c r="R46" s="55"/>
      <c r="S46" s="3"/>
      <c r="T46" s="52"/>
    </row>
    <row r="47" spans="2:24" s="15" customFormat="1" hidden="1" x14ac:dyDescent="0.2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 x14ac:dyDescent="0.2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 x14ac:dyDescent="0.2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 x14ac:dyDescent="0.2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 x14ac:dyDescent="0.2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 x14ac:dyDescent="0.2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 x14ac:dyDescent="0.2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 x14ac:dyDescent="0.2">
      <c r="V54" s="15"/>
    </row>
    <row r="55" spans="5:22" ht="15" customHeight="1" x14ac:dyDescent="0.2">
      <c r="V55" s="15"/>
    </row>
    <row r="56" spans="5:22" ht="15" customHeight="1" x14ac:dyDescent="0.2">
      <c r="V56" s="15"/>
    </row>
    <row r="57" spans="5:22" ht="15" customHeight="1" x14ac:dyDescent="0.2">
      <c r="V57" s="15"/>
    </row>
    <row r="58" spans="5:22" ht="15" customHeight="1" x14ac:dyDescent="0.2">
      <c r="V58" s="15"/>
    </row>
    <row r="59" spans="5:22" ht="15" customHeight="1" x14ac:dyDescent="0.2">
      <c r="V59" s="15"/>
    </row>
    <row r="60" spans="5:22" ht="15" customHeight="1" x14ac:dyDescent="0.2"/>
    <row r="61" spans="5:22" ht="15" customHeight="1" x14ac:dyDescent="0.2"/>
    <row r="62" spans="5:22" ht="15" customHeight="1" x14ac:dyDescent="0.2"/>
    <row r="63" spans="5:22" ht="15" customHeight="1" x14ac:dyDescent="0.2"/>
    <row r="64" spans="5:22" ht="15" customHeight="1" x14ac:dyDescent="0.2"/>
    <row r="65" spans="2:16" ht="15" customHeight="1" x14ac:dyDescent="0.2"/>
    <row r="66" spans="2:16" ht="15" customHeight="1" x14ac:dyDescent="0.2"/>
    <row r="68" spans="2:16" x14ac:dyDescent="0.2">
      <c r="B68" s="23"/>
      <c r="C68" s="23"/>
      <c r="D68" s="19"/>
      <c r="E68" s="18"/>
      <c r="F68" s="51"/>
      <c r="G68" s="51"/>
      <c r="H68" s="18"/>
      <c r="I68" s="18"/>
      <c r="J68" s="18"/>
      <c r="K68" s="18"/>
      <c r="L68" s="18"/>
      <c r="M68" s="16"/>
      <c r="N68" s="16"/>
      <c r="O68" s="16"/>
      <c r="P68" s="16"/>
    </row>
    <row r="69" spans="2:16" x14ac:dyDescent="0.2">
      <c r="B69" s="23"/>
      <c r="C69" s="23"/>
      <c r="D69" s="19"/>
      <c r="E69" s="18"/>
      <c r="F69" s="51"/>
      <c r="G69" s="51"/>
      <c r="H69" s="18"/>
      <c r="I69" s="18"/>
      <c r="J69" s="18"/>
      <c r="K69" s="18"/>
      <c r="L69" s="20"/>
      <c r="M69" s="16"/>
      <c r="N69" s="16"/>
      <c r="O69" s="16"/>
      <c r="P69" s="16"/>
    </row>
    <row r="70" spans="2:16" x14ac:dyDescent="0.2">
      <c r="B70" s="23"/>
      <c r="C70" s="23"/>
      <c r="D70" s="19"/>
      <c r="E70" s="18"/>
      <c r="F70" s="51"/>
      <c r="G70" s="51"/>
      <c r="H70" s="18"/>
      <c r="I70" s="18"/>
      <c r="J70" s="18"/>
      <c r="K70" s="18"/>
      <c r="L70" s="20"/>
      <c r="M70" s="16"/>
      <c r="N70" s="16"/>
      <c r="O70" s="16"/>
      <c r="P70" s="16"/>
    </row>
    <row r="71" spans="2:16" x14ac:dyDescent="0.2">
      <c r="L71" s="16"/>
      <c r="M71" s="16"/>
      <c r="N71" s="16"/>
      <c r="O71" s="16"/>
      <c r="P71" s="16"/>
    </row>
    <row r="72" spans="2:16" x14ac:dyDescent="0.2">
      <c r="L72" s="16"/>
      <c r="M72" s="16"/>
      <c r="N72" s="16"/>
      <c r="O72" s="16"/>
      <c r="P72" s="16"/>
    </row>
    <row r="73" spans="2:16" x14ac:dyDescent="0.2">
      <c r="L73" s="16"/>
      <c r="M73" s="16"/>
      <c r="N73" s="16"/>
      <c r="O73" s="16"/>
      <c r="P73" s="16"/>
    </row>
    <row r="74" spans="2:16" x14ac:dyDescent="0.2">
      <c r="L74" s="16"/>
      <c r="M74" s="16"/>
      <c r="N74" s="16"/>
      <c r="O74" s="16"/>
      <c r="P74" s="16"/>
    </row>
    <row r="75" spans="2:16" x14ac:dyDescent="0.2">
      <c r="L75" s="16"/>
      <c r="M75" s="16"/>
      <c r="N75" s="16"/>
      <c r="O75" s="16"/>
      <c r="P75" s="16"/>
    </row>
    <row r="76" spans="2:16" x14ac:dyDescent="0.2">
      <c r="L76" s="16"/>
      <c r="M76" s="16"/>
      <c r="N76" s="16"/>
      <c r="O76" s="16"/>
      <c r="P76" s="16"/>
    </row>
    <row r="77" spans="2:16" x14ac:dyDescent="0.2">
      <c r="L77" s="16"/>
      <c r="M77" s="16"/>
      <c r="N77" s="16"/>
      <c r="O77" s="16"/>
      <c r="P77" s="16"/>
    </row>
    <row r="78" spans="2:16" x14ac:dyDescent="0.2">
      <c r="L78" s="16"/>
      <c r="M78" s="16"/>
      <c r="N78" s="16"/>
      <c r="O78" s="16"/>
      <c r="P78" s="16"/>
    </row>
    <row r="79" spans="2:16" x14ac:dyDescent="0.2">
      <c r="L79" s="16"/>
      <c r="M79" s="16"/>
      <c r="N79" s="16"/>
      <c r="O79" s="16"/>
      <c r="P79" s="16"/>
    </row>
    <row r="80" spans="2:16" x14ac:dyDescent="0.2">
      <c r="L80" s="16"/>
      <c r="M80" s="16"/>
      <c r="N80" s="16"/>
      <c r="O80" s="16"/>
      <c r="P80" s="16"/>
    </row>
    <row r="81" spans="12:16" x14ac:dyDescent="0.2">
      <c r="L81" s="16"/>
      <c r="M81" s="16"/>
      <c r="N81" s="16"/>
      <c r="O81" s="16"/>
      <c r="P81" s="16"/>
    </row>
    <row r="82" spans="12:16" x14ac:dyDescent="0.2">
      <c r="L82" s="16"/>
      <c r="M82" s="16"/>
      <c r="N82" s="16"/>
      <c r="O82" s="16"/>
      <c r="P82" s="16"/>
    </row>
    <row r="83" spans="12:16" x14ac:dyDescent="0.2">
      <c r="L83" s="16"/>
      <c r="M83" s="16"/>
      <c r="N83" s="16"/>
      <c r="O83" s="16"/>
      <c r="P83" s="16"/>
    </row>
    <row r="84" spans="12:16" x14ac:dyDescent="0.2">
      <c r="L84" s="16"/>
      <c r="M84" s="16"/>
      <c r="N84" s="16"/>
      <c r="O84" s="16"/>
      <c r="P84" s="16"/>
    </row>
    <row r="85" spans="12:16" x14ac:dyDescent="0.2">
      <c r="L85" s="16"/>
      <c r="M85" s="16"/>
      <c r="N85" s="16"/>
      <c r="O85" s="16"/>
      <c r="P85" s="16"/>
    </row>
    <row r="86" spans="12:16" x14ac:dyDescent="0.2">
      <c r="L86" s="16"/>
      <c r="M86" s="16"/>
      <c r="N86" s="16"/>
      <c r="O86" s="16"/>
      <c r="P86" s="16"/>
    </row>
    <row r="87" spans="12:16" x14ac:dyDescent="0.2">
      <c r="L87" s="16"/>
      <c r="M87" s="16"/>
      <c r="N87" s="16"/>
      <c r="O87" s="16"/>
      <c r="P87" s="16"/>
    </row>
    <row r="88" spans="12:16" x14ac:dyDescent="0.2">
      <c r="L88" s="16"/>
      <c r="M88" s="16"/>
      <c r="N88" s="16"/>
      <c r="O88" s="16"/>
      <c r="P88" s="16"/>
    </row>
    <row r="89" spans="12:16" x14ac:dyDescent="0.2">
      <c r="L89" s="16"/>
      <c r="M89" s="16"/>
      <c r="N89" s="16"/>
      <c r="O89" s="16"/>
      <c r="P89" s="16"/>
    </row>
    <row r="90" spans="12:16" x14ac:dyDescent="0.2">
      <c r="L90" s="16"/>
      <c r="M90" s="16"/>
      <c r="N90" s="16"/>
      <c r="O90" s="16"/>
      <c r="P90" s="16"/>
    </row>
    <row r="91" spans="12:16" x14ac:dyDescent="0.2">
      <c r="L91" s="16"/>
      <c r="M91" s="16"/>
      <c r="N91" s="16"/>
      <c r="O91" s="16"/>
      <c r="P91" s="16"/>
    </row>
    <row r="92" spans="12:16" x14ac:dyDescent="0.2">
      <c r="L92" s="16"/>
      <c r="M92" s="16"/>
      <c r="N92" s="16"/>
      <c r="O92" s="16"/>
      <c r="P92" s="16"/>
    </row>
    <row r="93" spans="12:16" x14ac:dyDescent="0.2">
      <c r="L93" s="16"/>
      <c r="M93" s="16"/>
      <c r="N93" s="16"/>
      <c r="O93" s="16"/>
      <c r="P93" s="16"/>
    </row>
    <row r="94" spans="12:16" x14ac:dyDescent="0.2">
      <c r="L94" s="16"/>
      <c r="M94" s="16"/>
      <c r="N94" s="16"/>
      <c r="O94" s="16"/>
      <c r="P94" s="16"/>
    </row>
    <row r="95" spans="12:16" x14ac:dyDescent="0.2">
      <c r="L95" s="16"/>
      <c r="M95" s="16"/>
      <c r="N95" s="16"/>
      <c r="O95" s="16"/>
      <c r="P95" s="16"/>
    </row>
    <row r="96" spans="12:16" x14ac:dyDescent="0.2">
      <c r="L96" s="16"/>
      <c r="M96" s="16"/>
      <c r="N96" s="16"/>
      <c r="O96" s="16"/>
      <c r="P96" s="16"/>
    </row>
    <row r="97" spans="12:16" x14ac:dyDescent="0.2">
      <c r="L97" s="16"/>
      <c r="M97" s="16"/>
      <c r="N97" s="16"/>
      <c r="O97" s="16"/>
      <c r="P97" s="16"/>
    </row>
    <row r="98" spans="12:16" x14ac:dyDescent="0.2">
      <c r="L98" s="16"/>
      <c r="M98" s="16"/>
      <c r="N98" s="16"/>
      <c r="O98" s="16"/>
      <c r="P98" s="16"/>
    </row>
    <row r="99" spans="12:16" x14ac:dyDescent="0.2">
      <c r="L99" s="16"/>
      <c r="M99" s="16"/>
      <c r="N99" s="16"/>
      <c r="O99" s="16"/>
      <c r="P99" s="16"/>
    </row>
    <row r="100" spans="12:16" x14ac:dyDescent="0.2">
      <c r="L100" s="16"/>
      <c r="M100" s="16"/>
      <c r="N100" s="16"/>
      <c r="O100" s="16"/>
      <c r="P100" s="16"/>
    </row>
    <row r="101" spans="12:16" x14ac:dyDescent="0.2">
      <c r="L101" s="16"/>
      <c r="M101" s="16"/>
      <c r="N101" s="16"/>
      <c r="O101" s="16"/>
      <c r="P101" s="16"/>
    </row>
    <row r="102" spans="12:16" x14ac:dyDescent="0.2">
      <c r="L102" s="16"/>
      <c r="M102" s="16"/>
      <c r="N102" s="16"/>
      <c r="O102" s="16"/>
      <c r="P102" s="16"/>
    </row>
    <row r="103" spans="12:16" x14ac:dyDescent="0.2">
      <c r="L103" s="16"/>
      <c r="M103" s="16"/>
      <c r="N103" s="16"/>
      <c r="O103" s="16"/>
      <c r="P103" s="16"/>
    </row>
    <row r="104" spans="12:16" x14ac:dyDescent="0.2">
      <c r="L104" s="16"/>
      <c r="M104" s="16"/>
      <c r="N104" s="16"/>
      <c r="O104" s="16"/>
      <c r="P104" s="16"/>
    </row>
    <row r="105" spans="12:16" x14ac:dyDescent="0.2">
      <c r="L105" s="16"/>
      <c r="M105" s="16"/>
      <c r="N105" s="16"/>
      <c r="O105" s="16"/>
      <c r="P105" s="16"/>
    </row>
    <row r="106" spans="12:16" x14ac:dyDescent="0.2">
      <c r="L106" s="16"/>
      <c r="M106" s="16"/>
      <c r="N106" s="16"/>
      <c r="O106" s="16"/>
      <c r="P106" s="16"/>
    </row>
    <row r="107" spans="12:16" x14ac:dyDescent="0.2">
      <c r="L107" s="16"/>
      <c r="M107" s="16"/>
      <c r="N107" s="16"/>
      <c r="O107" s="16"/>
      <c r="P107" s="16"/>
    </row>
    <row r="108" spans="12:16" x14ac:dyDescent="0.2">
      <c r="L108" s="16"/>
      <c r="M108" s="16"/>
      <c r="N108" s="16"/>
      <c r="O108" s="16"/>
      <c r="P108" s="16"/>
    </row>
    <row r="109" spans="12:16" x14ac:dyDescent="0.2">
      <c r="L109" s="16"/>
      <c r="M109" s="16"/>
      <c r="N109" s="16"/>
      <c r="O109" s="16"/>
      <c r="P109" s="16"/>
    </row>
    <row r="110" spans="12:16" x14ac:dyDescent="0.2">
      <c r="L110" s="16"/>
      <c r="M110" s="16"/>
      <c r="N110" s="16"/>
      <c r="O110" s="16"/>
      <c r="P110" s="16"/>
    </row>
    <row r="111" spans="12:16" x14ac:dyDescent="0.2">
      <c r="L111" s="16"/>
      <c r="M111" s="16"/>
      <c r="N111" s="16"/>
      <c r="O111" s="16"/>
      <c r="P111" s="16"/>
    </row>
    <row r="112" spans="12:16" x14ac:dyDescent="0.2">
      <c r="L112" s="16"/>
      <c r="M112" s="16"/>
      <c r="N112" s="16"/>
      <c r="O112" s="16"/>
      <c r="P112" s="16"/>
    </row>
    <row r="113" spans="12:16" x14ac:dyDescent="0.2">
      <c r="L113" s="16"/>
      <c r="M113" s="16"/>
      <c r="N113" s="16"/>
      <c r="O113" s="16"/>
      <c r="P113" s="16"/>
    </row>
    <row r="114" spans="12:16" x14ac:dyDescent="0.2">
      <c r="L114" s="16"/>
      <c r="M114" s="16"/>
      <c r="N114" s="16"/>
      <c r="O114" s="16"/>
      <c r="P114" s="16"/>
    </row>
    <row r="115" spans="12:16" x14ac:dyDescent="0.2">
      <c r="L115" s="16"/>
      <c r="M115" s="16"/>
      <c r="N115" s="16"/>
      <c r="O115" s="16"/>
      <c r="P115" s="16"/>
    </row>
    <row r="116" spans="12:16" x14ac:dyDescent="0.2">
      <c r="L116" s="16"/>
      <c r="M116" s="16"/>
      <c r="N116" s="16"/>
      <c r="O116" s="16"/>
      <c r="P116" s="16"/>
    </row>
    <row r="117" spans="12:16" x14ac:dyDescent="0.2">
      <c r="L117" s="16"/>
      <c r="M117" s="16"/>
      <c r="N117" s="16"/>
      <c r="O117" s="16"/>
      <c r="P117" s="16"/>
    </row>
    <row r="118" spans="12:16" x14ac:dyDescent="0.2">
      <c r="L118" s="16"/>
      <c r="M118" s="16"/>
      <c r="N118" s="16"/>
      <c r="O118" s="16"/>
      <c r="P118" s="16"/>
    </row>
    <row r="119" spans="12:16" x14ac:dyDescent="0.2">
      <c r="L119" s="16"/>
      <c r="M119" s="16"/>
      <c r="N119" s="16"/>
      <c r="O119" s="16"/>
      <c r="P119" s="16"/>
    </row>
    <row r="120" spans="12:16" x14ac:dyDescent="0.2">
      <c r="L120" s="16"/>
      <c r="M120" s="16"/>
      <c r="N120" s="16"/>
      <c r="O120" s="16"/>
      <c r="P120" s="16"/>
    </row>
    <row r="121" spans="12:16" x14ac:dyDescent="0.2">
      <c r="L121" s="16"/>
      <c r="M121" s="16"/>
      <c r="N121" s="16"/>
      <c r="O121" s="16"/>
      <c r="P121" s="16"/>
    </row>
    <row r="122" spans="12:16" x14ac:dyDescent="0.2">
      <c r="L122" s="16"/>
      <c r="M122" s="16"/>
      <c r="N122" s="16"/>
      <c r="O122" s="16"/>
      <c r="P122" s="16"/>
    </row>
    <row r="123" spans="12:16" x14ac:dyDescent="0.2">
      <c r="L123" s="16"/>
      <c r="M123" s="16"/>
      <c r="N123" s="16"/>
      <c r="O123" s="16"/>
      <c r="P123" s="16"/>
    </row>
    <row r="124" spans="12:16" x14ac:dyDescent="0.2">
      <c r="L124" s="16"/>
      <c r="M124" s="16"/>
      <c r="N124" s="16"/>
      <c r="O124" s="16"/>
      <c r="P124" s="16"/>
    </row>
    <row r="125" spans="12:16" x14ac:dyDescent="0.2">
      <c r="L125" s="16"/>
      <c r="M125" s="16"/>
      <c r="N125" s="16"/>
      <c r="O125" s="16"/>
      <c r="P125" s="16"/>
    </row>
    <row r="126" spans="12:16" x14ac:dyDescent="0.2">
      <c r="L126" s="16"/>
      <c r="M126" s="16"/>
      <c r="N126" s="16"/>
      <c r="O126" s="16"/>
      <c r="P126" s="16"/>
    </row>
    <row r="127" spans="12:16" x14ac:dyDescent="0.2">
      <c r="L127" s="16"/>
      <c r="M127" s="16"/>
      <c r="N127" s="16"/>
      <c r="O127" s="16"/>
      <c r="P127" s="16"/>
    </row>
    <row r="128" spans="12:16" x14ac:dyDescent="0.2">
      <c r="L128" s="16"/>
      <c r="M128" s="16"/>
      <c r="N128" s="16"/>
      <c r="O128" s="16"/>
      <c r="P128" s="16"/>
    </row>
    <row r="129" spans="12:16" x14ac:dyDescent="0.2">
      <c r="L129" s="16"/>
      <c r="M129" s="16"/>
      <c r="N129" s="16"/>
      <c r="O129" s="16"/>
      <c r="P129" s="16"/>
    </row>
    <row r="130" spans="12:16" x14ac:dyDescent="0.2">
      <c r="L130" s="16"/>
      <c r="M130" s="16"/>
      <c r="N130" s="16"/>
      <c r="O130" s="16"/>
      <c r="P130" s="16"/>
    </row>
    <row r="131" spans="12:16" x14ac:dyDescent="0.2">
      <c r="L131" s="16"/>
      <c r="M131" s="16"/>
      <c r="N131" s="16"/>
      <c r="O131" s="16"/>
      <c r="P131" s="16"/>
    </row>
    <row r="132" spans="12:16" x14ac:dyDescent="0.2">
      <c r="L132" s="16"/>
      <c r="M132" s="16"/>
      <c r="N132" s="16"/>
      <c r="O132" s="16"/>
      <c r="P132" s="16"/>
    </row>
    <row r="133" spans="12:16" x14ac:dyDescent="0.2">
      <c r="L133" s="16"/>
      <c r="M133" s="16"/>
      <c r="N133" s="16"/>
      <c r="O133" s="16"/>
      <c r="P133" s="16"/>
    </row>
    <row r="134" spans="12:16" x14ac:dyDescent="0.2">
      <c r="L134" s="16"/>
      <c r="M134" s="16"/>
      <c r="N134" s="16"/>
      <c r="O134" s="16"/>
      <c r="P134" s="16"/>
    </row>
    <row r="135" spans="12:16" x14ac:dyDescent="0.2">
      <c r="L135" s="16"/>
      <c r="M135" s="16"/>
      <c r="N135" s="16"/>
      <c r="O135" s="16"/>
      <c r="P135" s="16"/>
    </row>
    <row r="136" spans="12:16" x14ac:dyDescent="0.2">
      <c r="L136" s="16"/>
      <c r="M136" s="16"/>
      <c r="N136" s="16"/>
      <c r="O136" s="16"/>
      <c r="P136" s="16"/>
    </row>
    <row r="137" spans="12:16" x14ac:dyDescent="0.2">
      <c r="L137" s="16"/>
      <c r="M137" s="16"/>
      <c r="N137" s="16"/>
      <c r="O137" s="16"/>
      <c r="P137" s="16"/>
    </row>
    <row r="138" spans="12:16" x14ac:dyDescent="0.2">
      <c r="L138" s="16"/>
      <c r="M138" s="16"/>
      <c r="N138" s="16"/>
      <c r="O138" s="16"/>
      <c r="P138" s="16"/>
    </row>
    <row r="139" spans="12:16" x14ac:dyDescent="0.2">
      <c r="L139" s="16"/>
      <c r="M139" s="16"/>
      <c r="N139" s="16"/>
      <c r="O139" s="16"/>
      <c r="P139" s="16"/>
    </row>
    <row r="140" spans="12:16" x14ac:dyDescent="0.2">
      <c r="L140" s="16"/>
      <c r="M140" s="16"/>
      <c r="N140" s="16"/>
      <c r="O140" s="16"/>
      <c r="P140" s="16"/>
    </row>
    <row r="141" spans="12:16" x14ac:dyDescent="0.2">
      <c r="L141" s="16"/>
      <c r="M141" s="16"/>
      <c r="N141" s="16"/>
      <c r="O141" s="16"/>
      <c r="P141" s="16"/>
    </row>
    <row r="142" spans="12:16" x14ac:dyDescent="0.2">
      <c r="L142" s="16"/>
      <c r="M142" s="16"/>
      <c r="N142" s="16"/>
      <c r="O142" s="16"/>
      <c r="P142" s="16"/>
    </row>
    <row r="143" spans="12:16" x14ac:dyDescent="0.2">
      <c r="L143" s="16"/>
      <c r="M143" s="16"/>
      <c r="N143" s="16"/>
      <c r="O143" s="16"/>
      <c r="P143" s="16"/>
    </row>
    <row r="144" spans="12:16" x14ac:dyDescent="0.2">
      <c r="L144" s="16"/>
      <c r="M144" s="16"/>
      <c r="N144" s="16"/>
      <c r="O144" s="16"/>
      <c r="P144" s="16"/>
    </row>
    <row r="145" spans="12:16" x14ac:dyDescent="0.2">
      <c r="L145" s="16"/>
      <c r="M145" s="16"/>
      <c r="N145" s="16"/>
      <c r="O145" s="16"/>
      <c r="P145" s="16"/>
    </row>
    <row r="146" spans="12:16" x14ac:dyDescent="0.2">
      <c r="L146" s="16"/>
      <c r="M146" s="16"/>
      <c r="N146" s="16"/>
      <c r="O146" s="16"/>
      <c r="P146" s="16"/>
    </row>
    <row r="147" spans="12:16" x14ac:dyDescent="0.2">
      <c r="L147" s="16"/>
      <c r="M147" s="16"/>
      <c r="N147" s="16"/>
      <c r="O147" s="16"/>
      <c r="P147" s="16"/>
    </row>
    <row r="148" spans="12:16" x14ac:dyDescent="0.2">
      <c r="L148" s="16"/>
      <c r="M148" s="16"/>
      <c r="N148" s="16"/>
      <c r="O148" s="16"/>
      <c r="P148" s="16"/>
    </row>
    <row r="149" spans="12:16" x14ac:dyDescent="0.2">
      <c r="L149" s="16"/>
      <c r="M149" s="16"/>
      <c r="N149" s="16"/>
      <c r="O149" s="16"/>
      <c r="P149" s="16"/>
    </row>
    <row r="150" spans="12:16" x14ac:dyDescent="0.2">
      <c r="L150" s="16"/>
      <c r="M150" s="16"/>
      <c r="N150" s="16"/>
      <c r="O150" s="16"/>
      <c r="P150" s="16"/>
    </row>
    <row r="151" spans="12:16" x14ac:dyDescent="0.2">
      <c r="L151" s="16"/>
      <c r="M151" s="16"/>
      <c r="N151" s="16"/>
      <c r="O151" s="16"/>
      <c r="P151" s="16"/>
    </row>
    <row r="152" spans="12:16" x14ac:dyDescent="0.2">
      <c r="L152" s="16"/>
      <c r="M152" s="16"/>
      <c r="N152" s="16"/>
      <c r="O152" s="16"/>
      <c r="P152" s="16"/>
    </row>
    <row r="153" spans="12:16" x14ac:dyDescent="0.2">
      <c r="L153" s="16"/>
      <c r="M153" s="16"/>
      <c r="N153" s="16"/>
      <c r="O153" s="16"/>
      <c r="P153" s="16"/>
    </row>
    <row r="154" spans="12:16" x14ac:dyDescent="0.2">
      <c r="L154" s="16"/>
      <c r="M154" s="16"/>
      <c r="N154" s="16"/>
      <c r="O154" s="16"/>
      <c r="P154" s="16"/>
    </row>
    <row r="155" spans="12:16" x14ac:dyDescent="0.2">
      <c r="L155" s="16"/>
      <c r="M155" s="16"/>
      <c r="N155" s="16"/>
      <c r="O155" s="16"/>
      <c r="P155" s="16"/>
    </row>
    <row r="156" spans="12:16" x14ac:dyDescent="0.2">
      <c r="L156" s="16"/>
      <c r="M156" s="16"/>
      <c r="N156" s="16"/>
      <c r="O156" s="16"/>
      <c r="P156" s="16"/>
    </row>
    <row r="157" spans="12:16" x14ac:dyDescent="0.2">
      <c r="L157" s="16"/>
      <c r="M157" s="16"/>
      <c r="N157" s="16"/>
      <c r="O157" s="16"/>
      <c r="P157" s="16"/>
    </row>
    <row r="158" spans="12:16" x14ac:dyDescent="0.2">
      <c r="L158" s="16"/>
      <c r="M158" s="16"/>
      <c r="N158" s="16"/>
      <c r="O158" s="16"/>
      <c r="P158" s="16"/>
    </row>
    <row r="159" spans="12:16" x14ac:dyDescent="0.2">
      <c r="L159" s="16"/>
      <c r="M159" s="16"/>
      <c r="N159" s="16"/>
      <c r="O159" s="16"/>
      <c r="P159" s="16"/>
    </row>
    <row r="160" spans="12:16" x14ac:dyDescent="0.2">
      <c r="L160" s="16"/>
      <c r="M160" s="16"/>
      <c r="N160" s="16"/>
      <c r="O160" s="16"/>
      <c r="P160" s="16"/>
    </row>
    <row r="161" spans="12:16" x14ac:dyDescent="0.2">
      <c r="L161" s="16"/>
      <c r="M161" s="16"/>
      <c r="N161" s="16"/>
      <c r="O161" s="16"/>
      <c r="P161" s="16"/>
    </row>
    <row r="162" spans="12:16" x14ac:dyDescent="0.2">
      <c r="L162" s="16"/>
      <c r="M162" s="16"/>
      <c r="N162" s="16"/>
      <c r="O162" s="16"/>
      <c r="P162" s="16"/>
    </row>
    <row r="163" spans="12:16" x14ac:dyDescent="0.2">
      <c r="L163" s="16"/>
      <c r="M163" s="16"/>
      <c r="N163" s="16"/>
      <c r="O163" s="16"/>
      <c r="P163" s="16"/>
    </row>
    <row r="164" spans="12:16" x14ac:dyDescent="0.2">
      <c r="L164" s="16"/>
      <c r="M164" s="16"/>
      <c r="N164" s="16"/>
      <c r="O164" s="16"/>
      <c r="P164" s="16"/>
    </row>
    <row r="165" spans="12:16" x14ac:dyDescent="0.2">
      <c r="L165" s="16"/>
      <c r="M165" s="16"/>
      <c r="N165" s="16"/>
      <c r="O165" s="16"/>
      <c r="P165" s="16"/>
    </row>
    <row r="166" spans="12:16" x14ac:dyDescent="0.2">
      <c r="L166" s="16"/>
      <c r="M166" s="16"/>
      <c r="N166" s="16"/>
      <c r="O166" s="16"/>
      <c r="P166" s="16"/>
    </row>
    <row r="167" spans="12:16" x14ac:dyDescent="0.2">
      <c r="L167" s="16"/>
      <c r="M167" s="16"/>
      <c r="N167" s="16"/>
      <c r="O167" s="16"/>
      <c r="P167" s="16"/>
    </row>
    <row r="168" spans="12:16" x14ac:dyDescent="0.2">
      <c r="L168" s="16"/>
      <c r="M168" s="16"/>
      <c r="N168" s="16"/>
      <c r="O168" s="16"/>
      <c r="P168" s="16"/>
    </row>
    <row r="169" spans="12:16" x14ac:dyDescent="0.2">
      <c r="L169" s="16"/>
      <c r="M169" s="16"/>
      <c r="N169" s="16"/>
      <c r="O169" s="16"/>
      <c r="P169" s="16"/>
    </row>
    <row r="170" spans="12:16" x14ac:dyDescent="0.2">
      <c r="L170" s="16"/>
      <c r="M170" s="16"/>
      <c r="N170" s="16"/>
      <c r="O170" s="16"/>
      <c r="P170" s="16"/>
    </row>
    <row r="171" spans="12:16" x14ac:dyDescent="0.2">
      <c r="L171" s="16"/>
      <c r="M171" s="16"/>
      <c r="N171" s="16"/>
      <c r="O171" s="16"/>
      <c r="P171" s="16"/>
    </row>
    <row r="172" spans="12:16" x14ac:dyDescent="0.2">
      <c r="L172" s="16"/>
      <c r="M172" s="16"/>
      <c r="N172" s="16"/>
      <c r="O172" s="16"/>
      <c r="P172" s="16"/>
    </row>
    <row r="173" spans="12:16" x14ac:dyDescent="0.2">
      <c r="L173" s="16"/>
      <c r="M173" s="16"/>
      <c r="N173" s="16"/>
      <c r="O173" s="16"/>
      <c r="P173" s="16"/>
    </row>
    <row r="174" spans="12:16" x14ac:dyDescent="0.2">
      <c r="L174" s="16"/>
      <c r="M174" s="16"/>
      <c r="N174" s="16"/>
      <c r="O174" s="16"/>
      <c r="P174" s="16"/>
    </row>
    <row r="175" spans="12:16" x14ac:dyDescent="0.2">
      <c r="L175" s="16"/>
      <c r="M175" s="16"/>
      <c r="N175" s="16"/>
      <c r="O175" s="16"/>
      <c r="P175" s="16"/>
    </row>
    <row r="176" spans="12:16" x14ac:dyDescent="0.2">
      <c r="L176" s="16"/>
      <c r="M176" s="16"/>
      <c r="N176" s="16"/>
      <c r="O176" s="16"/>
      <c r="P176" s="16"/>
    </row>
    <row r="177" spans="12:16" x14ac:dyDescent="0.2">
      <c r="L177" s="16"/>
      <c r="M177" s="16"/>
      <c r="N177" s="16"/>
      <c r="O177" s="16"/>
      <c r="P177" s="16"/>
    </row>
    <row r="178" spans="12:16" x14ac:dyDescent="0.2">
      <c r="L178" s="16"/>
      <c r="M178" s="16"/>
      <c r="N178" s="16"/>
      <c r="O178" s="16"/>
      <c r="P178" s="16"/>
    </row>
    <row r="179" spans="12:16" x14ac:dyDescent="0.2">
      <c r="L179" s="16"/>
      <c r="M179" s="16"/>
      <c r="N179" s="16"/>
      <c r="O179" s="16"/>
      <c r="P179" s="16"/>
    </row>
    <row r="180" spans="12:16" x14ac:dyDescent="0.2">
      <c r="L180" s="16"/>
      <c r="M180" s="16"/>
      <c r="N180" s="16"/>
      <c r="O180" s="16"/>
      <c r="P180" s="16"/>
    </row>
    <row r="181" spans="12:16" x14ac:dyDescent="0.2">
      <c r="L181" s="16"/>
      <c r="M181" s="16"/>
      <c r="N181" s="16"/>
      <c r="O181" s="16"/>
      <c r="P181" s="16"/>
    </row>
    <row r="182" spans="12:16" x14ac:dyDescent="0.2">
      <c r="L182" s="16"/>
      <c r="M182" s="16"/>
      <c r="N182" s="16"/>
      <c r="O182" s="16"/>
      <c r="P182" s="16"/>
    </row>
    <row r="183" spans="12:16" x14ac:dyDescent="0.2">
      <c r="L183" s="16"/>
      <c r="M183" s="16"/>
      <c r="N183" s="16"/>
      <c r="O183" s="16"/>
      <c r="P183" s="16"/>
    </row>
    <row r="184" spans="12:16" x14ac:dyDescent="0.2">
      <c r="L184" s="16"/>
      <c r="M184" s="16"/>
      <c r="N184" s="16"/>
      <c r="O184" s="16"/>
      <c r="P184" s="16"/>
    </row>
    <row r="185" spans="12:16" x14ac:dyDescent="0.2">
      <c r="L185" s="16"/>
      <c r="M185" s="16"/>
      <c r="N185" s="16"/>
      <c r="O185" s="16"/>
      <c r="P185" s="16"/>
    </row>
    <row r="186" spans="12:16" x14ac:dyDescent="0.2">
      <c r="L186" s="16"/>
      <c r="M186" s="16"/>
      <c r="N186" s="16"/>
      <c r="O186" s="16"/>
      <c r="P186" s="16"/>
    </row>
    <row r="187" spans="12:16" x14ac:dyDescent="0.2">
      <c r="L187" s="16"/>
      <c r="M187" s="16"/>
      <c r="N187" s="16"/>
      <c r="O187" s="16"/>
      <c r="P187" s="16"/>
    </row>
    <row r="188" spans="12:16" x14ac:dyDescent="0.2">
      <c r="L188" s="16"/>
      <c r="M188" s="16"/>
      <c r="N188" s="16"/>
      <c r="O188" s="16"/>
      <c r="P188" s="16"/>
    </row>
    <row r="189" spans="12:16" x14ac:dyDescent="0.2">
      <c r="L189" s="16"/>
      <c r="M189" s="16"/>
      <c r="N189" s="16"/>
      <c r="O189" s="16"/>
      <c r="P189" s="16"/>
    </row>
    <row r="190" spans="12:16" x14ac:dyDescent="0.2">
      <c r="L190" s="16"/>
      <c r="M190" s="16"/>
      <c r="N190" s="16"/>
      <c r="O190" s="16"/>
      <c r="P190" s="16"/>
    </row>
    <row r="191" spans="12:16" x14ac:dyDescent="0.2">
      <c r="L191" s="16"/>
      <c r="M191" s="16"/>
      <c r="N191" s="16"/>
      <c r="O191" s="16"/>
      <c r="P191" s="16"/>
    </row>
    <row r="192" spans="12:16" x14ac:dyDescent="0.2">
      <c r="L192" s="16"/>
      <c r="M192" s="16"/>
      <c r="N192" s="16"/>
      <c r="O192" s="16"/>
      <c r="P192" s="16"/>
    </row>
    <row r="193" spans="12:16" x14ac:dyDescent="0.2">
      <c r="L193" s="16"/>
      <c r="M193" s="16"/>
      <c r="N193" s="16"/>
      <c r="O193" s="16"/>
      <c r="P193" s="16"/>
    </row>
    <row r="194" spans="12:16" x14ac:dyDescent="0.2">
      <c r="L194" s="16"/>
      <c r="M194" s="16"/>
      <c r="N194" s="16"/>
      <c r="O194" s="16"/>
      <c r="P194" s="16"/>
    </row>
    <row r="195" spans="12:16" x14ac:dyDescent="0.2">
      <c r="L195" s="16"/>
      <c r="M195" s="16"/>
      <c r="N195" s="16"/>
      <c r="O195" s="16"/>
      <c r="P195" s="16"/>
    </row>
    <row r="196" spans="12:16" x14ac:dyDescent="0.2">
      <c r="L196" s="16"/>
      <c r="M196" s="16"/>
      <c r="N196" s="16"/>
      <c r="O196" s="16"/>
      <c r="P196" s="16"/>
    </row>
    <row r="197" spans="12:16" x14ac:dyDescent="0.2">
      <c r="L197" s="16"/>
      <c r="M197" s="16"/>
      <c r="N197" s="16"/>
      <c r="O197" s="16"/>
      <c r="P197" s="16"/>
    </row>
    <row r="198" spans="12:16" x14ac:dyDescent="0.2">
      <c r="L198" s="16"/>
      <c r="M198" s="16"/>
      <c r="N198" s="16"/>
      <c r="O198" s="16"/>
      <c r="P198" s="16"/>
    </row>
    <row r="199" spans="12:16" x14ac:dyDescent="0.2">
      <c r="L199" s="16"/>
      <c r="M199" s="16"/>
      <c r="N199" s="16"/>
      <c r="O199" s="16"/>
      <c r="P199" s="16"/>
    </row>
    <row r="200" spans="12:16" x14ac:dyDescent="0.2">
      <c r="L200" s="16"/>
      <c r="M200" s="16"/>
      <c r="N200" s="16"/>
      <c r="O200" s="16"/>
      <c r="P200" s="16"/>
    </row>
    <row r="201" spans="12:16" x14ac:dyDescent="0.2">
      <c r="L201" s="16"/>
      <c r="M201" s="16"/>
      <c r="N201" s="16"/>
      <c r="O201" s="16"/>
      <c r="P201" s="16"/>
    </row>
    <row r="202" spans="12:16" x14ac:dyDescent="0.2">
      <c r="L202" s="16"/>
      <c r="M202" s="16"/>
      <c r="N202" s="16"/>
      <c r="O202" s="16"/>
      <c r="P202" s="16"/>
    </row>
    <row r="203" spans="12:16" x14ac:dyDescent="0.2">
      <c r="L203" s="16"/>
      <c r="M203" s="16"/>
      <c r="N203" s="16"/>
      <c r="O203" s="16"/>
      <c r="P203" s="16"/>
    </row>
    <row r="204" spans="12:16" x14ac:dyDescent="0.2">
      <c r="L204" s="16"/>
      <c r="M204" s="16"/>
      <c r="N204" s="16"/>
      <c r="O204" s="16"/>
      <c r="P204" s="16"/>
    </row>
    <row r="205" spans="12:16" x14ac:dyDescent="0.2">
      <c r="L205" s="16"/>
      <c r="M205" s="16"/>
      <c r="N205" s="16"/>
      <c r="O205" s="16"/>
      <c r="P205" s="16"/>
    </row>
    <row r="206" spans="12:16" x14ac:dyDescent="0.2">
      <c r="L206" s="16"/>
      <c r="M206" s="16"/>
      <c r="N206" s="16"/>
      <c r="O206" s="16"/>
      <c r="P206" s="16"/>
    </row>
    <row r="207" spans="12:16" x14ac:dyDescent="0.2">
      <c r="L207" s="16"/>
      <c r="M207" s="16"/>
      <c r="N207" s="16"/>
      <c r="O207" s="16"/>
      <c r="P207" s="16"/>
    </row>
    <row r="208" spans="12:16" x14ac:dyDescent="0.2">
      <c r="L208" s="16"/>
      <c r="M208" s="16"/>
      <c r="N208" s="16"/>
      <c r="O208" s="16"/>
      <c r="P208" s="16"/>
    </row>
    <row r="209" spans="12:16" x14ac:dyDescent="0.2">
      <c r="L209" s="16"/>
      <c r="M209" s="16"/>
      <c r="N209" s="16"/>
      <c r="O209" s="16"/>
      <c r="P209" s="16"/>
    </row>
    <row r="210" spans="12:16" x14ac:dyDescent="0.2">
      <c r="L210" s="16"/>
      <c r="M210" s="16"/>
      <c r="N210" s="16"/>
      <c r="O210" s="16"/>
      <c r="P210" s="16"/>
    </row>
    <row r="211" spans="12:16" x14ac:dyDescent="0.2">
      <c r="L211" s="16"/>
      <c r="M211" s="16"/>
      <c r="N211" s="16"/>
      <c r="O211" s="16"/>
      <c r="P211" s="16"/>
    </row>
    <row r="212" spans="12:16" x14ac:dyDescent="0.2">
      <c r="L212" s="16"/>
      <c r="M212" s="16"/>
      <c r="N212" s="16"/>
      <c r="O212" s="16"/>
      <c r="P212" s="16"/>
    </row>
    <row r="213" spans="12:16" x14ac:dyDescent="0.2">
      <c r="L213" s="16"/>
      <c r="M213" s="16"/>
      <c r="N213" s="16"/>
      <c r="O213" s="16"/>
      <c r="P213" s="16"/>
    </row>
    <row r="214" spans="12:16" x14ac:dyDescent="0.2">
      <c r="L214" s="16"/>
      <c r="M214" s="16"/>
      <c r="N214" s="16"/>
      <c r="O214" s="16"/>
      <c r="P214" s="16"/>
    </row>
    <row r="215" spans="12:16" x14ac:dyDescent="0.2">
      <c r="L215" s="16"/>
      <c r="M215" s="16"/>
      <c r="N215" s="16"/>
      <c r="O215" s="16"/>
      <c r="P215" s="16"/>
    </row>
    <row r="216" spans="12:16" x14ac:dyDescent="0.2">
      <c r="L216" s="16"/>
      <c r="M216" s="16"/>
      <c r="N216" s="16"/>
      <c r="O216" s="16"/>
      <c r="P216" s="16"/>
    </row>
    <row r="217" spans="12:16" x14ac:dyDescent="0.2">
      <c r="L217" s="16"/>
      <c r="M217" s="16"/>
      <c r="N217" s="16"/>
      <c r="O217" s="16"/>
      <c r="P217" s="16"/>
    </row>
    <row r="218" spans="12:16" x14ac:dyDescent="0.2">
      <c r="L218" s="16"/>
      <c r="M218" s="16"/>
      <c r="N218" s="16"/>
      <c r="O218" s="16"/>
      <c r="P218" s="16"/>
    </row>
    <row r="219" spans="12:16" x14ac:dyDescent="0.2">
      <c r="L219" s="16"/>
      <c r="M219" s="16"/>
      <c r="N219" s="16"/>
      <c r="O219" s="16"/>
      <c r="P219" s="16"/>
    </row>
    <row r="220" spans="12:16" x14ac:dyDescent="0.2">
      <c r="L220" s="16"/>
      <c r="M220" s="16"/>
      <c r="N220" s="16"/>
      <c r="O220" s="16"/>
      <c r="P220" s="16"/>
    </row>
    <row r="221" spans="12:16" x14ac:dyDescent="0.2">
      <c r="L221" s="16"/>
      <c r="M221" s="16"/>
      <c r="N221" s="16"/>
      <c r="O221" s="16"/>
      <c r="P221" s="16"/>
    </row>
    <row r="222" spans="12:16" x14ac:dyDescent="0.2">
      <c r="L222" s="16"/>
      <c r="M222" s="16"/>
      <c r="N222" s="16"/>
      <c r="O222" s="16"/>
      <c r="P222" s="16"/>
    </row>
    <row r="223" spans="12:16" x14ac:dyDescent="0.2">
      <c r="L223" s="16"/>
      <c r="M223" s="16"/>
      <c r="N223" s="16"/>
      <c r="O223" s="16"/>
      <c r="P223" s="16"/>
    </row>
    <row r="224" spans="12:16" x14ac:dyDescent="0.2">
      <c r="L224" s="16"/>
      <c r="M224" s="16"/>
      <c r="N224" s="16"/>
      <c r="O224" s="16"/>
      <c r="P224" s="16"/>
    </row>
    <row r="225" spans="12:16" x14ac:dyDescent="0.2">
      <c r="L225" s="16"/>
      <c r="M225" s="16"/>
      <c r="N225" s="16"/>
      <c r="O225" s="16"/>
      <c r="P225" s="16"/>
    </row>
    <row r="226" spans="12:16" x14ac:dyDescent="0.2">
      <c r="L226" s="16"/>
      <c r="M226" s="16"/>
      <c r="N226" s="16"/>
      <c r="O226" s="16"/>
      <c r="P226" s="16"/>
    </row>
    <row r="227" spans="12:16" x14ac:dyDescent="0.2">
      <c r="L227" s="16"/>
      <c r="M227" s="16"/>
      <c r="N227" s="16"/>
      <c r="O227" s="16"/>
      <c r="P227" s="16"/>
    </row>
    <row r="228" spans="12:16" x14ac:dyDescent="0.2">
      <c r="L228" s="16"/>
      <c r="M228" s="16"/>
      <c r="N228" s="16"/>
      <c r="O228" s="16"/>
      <c r="P228" s="16"/>
    </row>
    <row r="229" spans="12:16" x14ac:dyDescent="0.2">
      <c r="L229" s="16"/>
      <c r="M229" s="16"/>
      <c r="N229" s="16"/>
      <c r="O229" s="16"/>
      <c r="P229" s="16"/>
    </row>
    <row r="230" spans="12:16" x14ac:dyDescent="0.2">
      <c r="L230" s="16"/>
      <c r="M230" s="16"/>
      <c r="N230" s="16"/>
      <c r="O230" s="16"/>
      <c r="P230" s="16"/>
    </row>
    <row r="231" spans="12:16" x14ac:dyDescent="0.2">
      <c r="L231" s="16"/>
      <c r="M231" s="16"/>
      <c r="N231" s="16"/>
      <c r="O231" s="16"/>
      <c r="P231" s="16"/>
    </row>
    <row r="232" spans="12:16" x14ac:dyDescent="0.2">
      <c r="L232" s="16"/>
      <c r="M232" s="16"/>
      <c r="N232" s="16"/>
      <c r="O232" s="16"/>
      <c r="P232" s="16"/>
    </row>
    <row r="233" spans="12:16" x14ac:dyDescent="0.2">
      <c r="L233" s="16"/>
      <c r="M233" s="16"/>
      <c r="N233" s="16"/>
      <c r="O233" s="16"/>
      <c r="P233" s="16"/>
    </row>
    <row r="234" spans="12:16" x14ac:dyDescent="0.2">
      <c r="L234" s="16"/>
      <c r="M234" s="16"/>
      <c r="N234" s="16"/>
      <c r="O234" s="16"/>
      <c r="P234" s="16"/>
    </row>
    <row r="235" spans="12:16" x14ac:dyDescent="0.2">
      <c r="L235" s="16"/>
      <c r="M235" s="16"/>
      <c r="N235" s="16"/>
      <c r="O235" s="16"/>
      <c r="P235" s="16"/>
    </row>
    <row r="236" spans="12:16" x14ac:dyDescent="0.2">
      <c r="L236" s="16"/>
      <c r="M236" s="16"/>
      <c r="N236" s="16"/>
      <c r="O236" s="16"/>
      <c r="P236" s="16"/>
    </row>
    <row r="237" spans="12:16" x14ac:dyDescent="0.2">
      <c r="L237" s="16"/>
      <c r="M237" s="16"/>
      <c r="N237" s="16"/>
      <c r="O237" s="16"/>
      <c r="P237" s="16"/>
    </row>
    <row r="238" spans="12:16" x14ac:dyDescent="0.2">
      <c r="L238" s="16"/>
      <c r="M238" s="16"/>
      <c r="N238" s="16"/>
      <c r="O238" s="16"/>
      <c r="P238" s="16"/>
    </row>
    <row r="239" spans="12:16" x14ac:dyDescent="0.2">
      <c r="L239" s="16"/>
      <c r="M239" s="16"/>
      <c r="N239" s="16"/>
      <c r="O239" s="16"/>
      <c r="P239" s="16"/>
    </row>
    <row r="240" spans="12:16" x14ac:dyDescent="0.2">
      <c r="L240" s="16"/>
      <c r="M240" s="16"/>
      <c r="N240" s="16"/>
      <c r="O240" s="16"/>
      <c r="P240" s="16"/>
    </row>
    <row r="241" spans="12:16" x14ac:dyDescent="0.2">
      <c r="L241" s="16"/>
      <c r="M241" s="16"/>
      <c r="N241" s="16"/>
      <c r="O241" s="16"/>
      <c r="P241" s="16"/>
    </row>
    <row r="242" spans="12:16" x14ac:dyDescent="0.2">
      <c r="L242" s="16"/>
      <c r="M242" s="16"/>
      <c r="N242" s="16"/>
      <c r="O242" s="16"/>
      <c r="P242" s="16"/>
    </row>
    <row r="243" spans="12:16" x14ac:dyDescent="0.2">
      <c r="L243" s="16"/>
      <c r="M243" s="16"/>
      <c r="N243" s="16"/>
      <c r="O243" s="16"/>
      <c r="P243" s="16"/>
    </row>
    <row r="244" spans="12:16" x14ac:dyDescent="0.2">
      <c r="L244" s="16"/>
      <c r="M244" s="16"/>
      <c r="N244" s="16"/>
      <c r="O244" s="16"/>
      <c r="P244" s="16"/>
    </row>
    <row r="245" spans="12:16" x14ac:dyDescent="0.2">
      <c r="L245" s="16"/>
      <c r="M245" s="16"/>
      <c r="N245" s="16"/>
      <c r="O245" s="16"/>
      <c r="P245" s="16"/>
    </row>
    <row r="246" spans="12:16" x14ac:dyDescent="0.2">
      <c r="L246" s="16"/>
      <c r="M246" s="16"/>
      <c r="N246" s="16"/>
      <c r="O246" s="16"/>
      <c r="P246" s="16"/>
    </row>
    <row r="247" spans="12:16" x14ac:dyDescent="0.2">
      <c r="L247" s="16"/>
      <c r="M247" s="16"/>
      <c r="N247" s="16"/>
      <c r="O247" s="16"/>
      <c r="P247" s="16"/>
    </row>
    <row r="248" spans="12:16" x14ac:dyDescent="0.2">
      <c r="L248" s="16"/>
      <c r="M248" s="16"/>
      <c r="N248" s="16"/>
      <c r="O248" s="16"/>
      <c r="P248" s="16"/>
    </row>
    <row r="249" spans="12:16" x14ac:dyDescent="0.2">
      <c r="L249" s="16"/>
      <c r="M249" s="16"/>
      <c r="N249" s="16"/>
      <c r="O249" s="16"/>
      <c r="P249" s="16"/>
    </row>
    <row r="250" spans="12:16" x14ac:dyDescent="0.2">
      <c r="L250" s="16"/>
      <c r="M250" s="16"/>
      <c r="N250" s="16"/>
      <c r="O250" s="16"/>
      <c r="P250" s="16"/>
    </row>
    <row r="251" spans="12:16" x14ac:dyDescent="0.2">
      <c r="L251" s="16"/>
      <c r="M251" s="16"/>
      <c r="N251" s="16"/>
      <c r="O251" s="16"/>
      <c r="P251" s="16"/>
    </row>
    <row r="252" spans="12:16" x14ac:dyDescent="0.2">
      <c r="L252" s="16"/>
      <c r="M252" s="16"/>
      <c r="N252" s="16"/>
      <c r="O252" s="16"/>
      <c r="P252" s="16"/>
    </row>
    <row r="253" spans="12:16" x14ac:dyDescent="0.2">
      <c r="L253" s="16"/>
      <c r="M253" s="16"/>
      <c r="N253" s="16"/>
      <c r="O253" s="16"/>
      <c r="P253" s="16"/>
    </row>
    <row r="254" spans="12:16" x14ac:dyDescent="0.2">
      <c r="L254" s="16"/>
      <c r="M254" s="16"/>
      <c r="N254" s="16"/>
      <c r="O254" s="16"/>
      <c r="P254" s="16"/>
    </row>
    <row r="255" spans="12:16" x14ac:dyDescent="0.2">
      <c r="L255" s="16"/>
      <c r="M255" s="16"/>
      <c r="N255" s="16"/>
      <c r="O255" s="16"/>
      <c r="P255" s="16"/>
    </row>
    <row r="256" spans="12:16" x14ac:dyDescent="0.2">
      <c r="L256" s="16"/>
      <c r="M256" s="16"/>
      <c r="N256" s="16"/>
      <c r="O256" s="16"/>
      <c r="P256" s="16"/>
    </row>
    <row r="257" spans="12:16" x14ac:dyDescent="0.2">
      <c r="L257" s="16"/>
      <c r="M257" s="16"/>
      <c r="N257" s="16"/>
      <c r="O257" s="16"/>
      <c r="P257" s="16"/>
    </row>
    <row r="258" spans="12:16" x14ac:dyDescent="0.2">
      <c r="L258" s="16"/>
      <c r="M258" s="16"/>
      <c r="N258" s="16"/>
      <c r="O258" s="16"/>
      <c r="P258" s="16"/>
    </row>
    <row r="259" spans="12:16" x14ac:dyDescent="0.2">
      <c r="L259" s="16"/>
      <c r="M259" s="16"/>
      <c r="N259" s="16"/>
      <c r="O259" s="16"/>
      <c r="P259" s="16"/>
    </row>
    <row r="260" spans="12:16" x14ac:dyDescent="0.2">
      <c r="L260" s="16"/>
      <c r="M260" s="16"/>
      <c r="N260" s="16"/>
      <c r="O260" s="16"/>
      <c r="P260" s="16"/>
    </row>
    <row r="261" spans="12:16" x14ac:dyDescent="0.2">
      <c r="L261" s="16"/>
      <c r="M261" s="16"/>
      <c r="N261" s="16"/>
      <c r="O261" s="16"/>
      <c r="P261" s="16"/>
    </row>
    <row r="262" spans="12:16" x14ac:dyDescent="0.2">
      <c r="L262" s="16"/>
      <c r="M262" s="16"/>
      <c r="N262" s="16"/>
      <c r="O262" s="16"/>
      <c r="P262" s="16"/>
    </row>
    <row r="263" spans="12:16" x14ac:dyDescent="0.2">
      <c r="L263" s="16"/>
      <c r="M263" s="16"/>
      <c r="N263" s="16"/>
      <c r="O263" s="16"/>
      <c r="P263" s="16"/>
    </row>
    <row r="264" spans="12:16" x14ac:dyDescent="0.2">
      <c r="L264" s="16"/>
      <c r="M264" s="16"/>
      <c r="N264" s="16"/>
      <c r="O264" s="16"/>
      <c r="P264" s="16"/>
    </row>
    <row r="265" spans="12:16" x14ac:dyDescent="0.2">
      <c r="L265" s="16"/>
      <c r="M265" s="16"/>
      <c r="N265" s="16"/>
      <c r="O265" s="16"/>
      <c r="P265" s="16"/>
    </row>
    <row r="266" spans="12:16" x14ac:dyDescent="0.2">
      <c r="L266" s="16"/>
      <c r="M266" s="16"/>
      <c r="N266" s="16"/>
      <c r="O266" s="16"/>
      <c r="P266" s="16"/>
    </row>
    <row r="267" spans="12:16" x14ac:dyDescent="0.2">
      <c r="L267" s="16"/>
      <c r="M267" s="16"/>
      <c r="N267" s="16"/>
      <c r="O267" s="16"/>
      <c r="P267" s="16"/>
    </row>
    <row r="268" spans="12:16" x14ac:dyDescent="0.2">
      <c r="L268" s="16"/>
      <c r="M268" s="16"/>
      <c r="N268" s="16"/>
      <c r="O268" s="16"/>
      <c r="P268" s="16"/>
    </row>
    <row r="269" spans="12:16" x14ac:dyDescent="0.2">
      <c r="L269" s="16"/>
      <c r="M269" s="16"/>
      <c r="N269" s="16"/>
      <c r="O269" s="16"/>
      <c r="P269" s="16"/>
    </row>
    <row r="270" spans="12:16" x14ac:dyDescent="0.2">
      <c r="L270" s="16"/>
      <c r="M270" s="16"/>
      <c r="N270" s="16"/>
      <c r="O270" s="16"/>
      <c r="P270" s="16"/>
    </row>
    <row r="271" spans="12:16" x14ac:dyDescent="0.2">
      <c r="L271" s="16"/>
      <c r="M271" s="16"/>
      <c r="N271" s="16"/>
      <c r="O271" s="16"/>
      <c r="P271" s="16"/>
    </row>
    <row r="272" spans="12:16" x14ac:dyDescent="0.2">
      <c r="L272" s="16"/>
      <c r="M272" s="16"/>
      <c r="N272" s="16"/>
      <c r="O272" s="16"/>
      <c r="P272" s="16"/>
    </row>
    <row r="273" spans="12:16" x14ac:dyDescent="0.2">
      <c r="L273" s="16"/>
      <c r="M273" s="16"/>
      <c r="N273" s="16"/>
      <c r="O273" s="16"/>
      <c r="P273" s="16"/>
    </row>
    <row r="274" spans="12:16" x14ac:dyDescent="0.2">
      <c r="L274" s="16"/>
      <c r="M274" s="16"/>
      <c r="N274" s="16"/>
      <c r="O274" s="16"/>
      <c r="P274" s="16"/>
    </row>
    <row r="275" spans="12:16" x14ac:dyDescent="0.2">
      <c r="L275" s="16"/>
      <c r="M275" s="16"/>
      <c r="N275" s="16"/>
      <c r="O275" s="16"/>
      <c r="P275" s="16"/>
    </row>
    <row r="276" spans="12:16" x14ac:dyDescent="0.2">
      <c r="L276" s="16"/>
      <c r="M276" s="16"/>
      <c r="N276" s="16"/>
      <c r="O276" s="16"/>
      <c r="P276" s="16"/>
    </row>
    <row r="277" spans="12:16" x14ac:dyDescent="0.2">
      <c r="L277" s="16"/>
      <c r="M277" s="16"/>
      <c r="N277" s="16"/>
      <c r="O277" s="16"/>
      <c r="P277" s="16"/>
    </row>
    <row r="278" spans="12:16" x14ac:dyDescent="0.2">
      <c r="L278" s="16"/>
      <c r="M278" s="16"/>
      <c r="N278" s="16"/>
      <c r="O278" s="16"/>
      <c r="P278" s="16"/>
    </row>
    <row r="279" spans="12:16" x14ac:dyDescent="0.2">
      <c r="L279" s="16"/>
      <c r="M279" s="16"/>
      <c r="N279" s="16"/>
      <c r="O279" s="16"/>
      <c r="P279" s="16"/>
    </row>
    <row r="280" spans="12:16" x14ac:dyDescent="0.2">
      <c r="L280" s="16"/>
      <c r="M280" s="16"/>
      <c r="N280" s="16"/>
      <c r="O280" s="16"/>
      <c r="P280" s="16"/>
    </row>
    <row r="281" spans="12:16" x14ac:dyDescent="0.2">
      <c r="L281" s="16"/>
      <c r="M281" s="16"/>
      <c r="N281" s="16"/>
      <c r="O281" s="16"/>
      <c r="P281" s="16"/>
    </row>
    <row r="282" spans="12:16" x14ac:dyDescent="0.2">
      <c r="L282" s="16"/>
      <c r="M282" s="16"/>
      <c r="N282" s="16"/>
      <c r="O282" s="16"/>
      <c r="P282" s="16"/>
    </row>
    <row r="283" spans="12:16" x14ac:dyDescent="0.2">
      <c r="L283" s="16"/>
      <c r="M283" s="16"/>
      <c r="N283" s="16"/>
      <c r="O283" s="16"/>
      <c r="P283" s="16"/>
    </row>
    <row r="284" spans="12:16" x14ac:dyDescent="0.2">
      <c r="L284" s="16"/>
      <c r="M284" s="16"/>
      <c r="N284" s="16"/>
      <c r="O284" s="16"/>
      <c r="P284" s="16"/>
    </row>
    <row r="285" spans="12:16" x14ac:dyDescent="0.2">
      <c r="L285" s="16"/>
      <c r="M285" s="16"/>
      <c r="N285" s="16"/>
      <c r="O285" s="16"/>
      <c r="P285" s="16"/>
    </row>
    <row r="286" spans="12:16" x14ac:dyDescent="0.2">
      <c r="L286" s="16"/>
      <c r="M286" s="16"/>
      <c r="N286" s="16"/>
      <c r="O286" s="16"/>
      <c r="P286" s="16"/>
    </row>
    <row r="287" spans="12:16" x14ac:dyDescent="0.2">
      <c r="L287" s="16"/>
      <c r="M287" s="16"/>
      <c r="N287" s="16"/>
      <c r="O287" s="16"/>
      <c r="P287" s="16"/>
    </row>
    <row r="288" spans="12:16" x14ac:dyDescent="0.2">
      <c r="L288" s="16"/>
      <c r="M288" s="16"/>
      <c r="N288" s="16"/>
      <c r="O288" s="16"/>
      <c r="P288" s="16"/>
    </row>
    <row r="289" spans="12:16" x14ac:dyDescent="0.2">
      <c r="L289" s="16"/>
      <c r="M289" s="16"/>
      <c r="N289" s="16"/>
      <c r="O289" s="16"/>
      <c r="P289" s="16"/>
    </row>
    <row r="290" spans="12:16" x14ac:dyDescent="0.2">
      <c r="L290" s="16"/>
      <c r="M290" s="16"/>
      <c r="N290" s="16"/>
      <c r="O290" s="16"/>
      <c r="P290" s="16"/>
    </row>
    <row r="291" spans="12:16" x14ac:dyDescent="0.2">
      <c r="L291" s="16"/>
      <c r="M291" s="16"/>
      <c r="N291" s="16"/>
      <c r="O291" s="16"/>
      <c r="P291" s="16"/>
    </row>
    <row r="292" spans="12:16" x14ac:dyDescent="0.2">
      <c r="L292" s="16"/>
      <c r="M292" s="16"/>
      <c r="N292" s="16"/>
      <c r="O292" s="16"/>
      <c r="P292" s="16"/>
    </row>
    <row r="293" spans="12:16" x14ac:dyDescent="0.2">
      <c r="L293" s="16"/>
      <c r="M293" s="16"/>
      <c r="N293" s="16"/>
      <c r="O293" s="16"/>
      <c r="P293" s="16"/>
    </row>
    <row r="294" spans="12:16" x14ac:dyDescent="0.2">
      <c r="L294" s="16"/>
      <c r="M294" s="16"/>
      <c r="N294" s="16"/>
      <c r="O294" s="16"/>
      <c r="P294" s="16"/>
    </row>
    <row r="295" spans="12:16" x14ac:dyDescent="0.2">
      <c r="L295" s="16"/>
      <c r="M295" s="16"/>
      <c r="N295" s="16"/>
      <c r="O295" s="16"/>
      <c r="P295" s="16"/>
    </row>
    <row r="296" spans="12:16" x14ac:dyDescent="0.2">
      <c r="L296" s="16"/>
      <c r="M296" s="16"/>
      <c r="N296" s="16"/>
      <c r="O296" s="16"/>
      <c r="P296" s="16"/>
    </row>
    <row r="297" spans="12:16" x14ac:dyDescent="0.2">
      <c r="L297" s="16"/>
      <c r="M297" s="16"/>
      <c r="N297" s="16"/>
      <c r="O297" s="16"/>
      <c r="P297" s="16"/>
    </row>
    <row r="298" spans="12:16" x14ac:dyDescent="0.2">
      <c r="L298" s="16"/>
      <c r="M298" s="16"/>
      <c r="N298" s="16"/>
      <c r="O298" s="16"/>
      <c r="P298" s="16"/>
    </row>
    <row r="299" spans="12:16" x14ac:dyDescent="0.2">
      <c r="L299" s="16"/>
      <c r="M299" s="16"/>
      <c r="N299" s="16"/>
      <c r="O299" s="16"/>
      <c r="P299" s="16"/>
    </row>
    <row r="300" spans="12:16" x14ac:dyDescent="0.2">
      <c r="L300" s="16"/>
      <c r="M300" s="16"/>
      <c r="N300" s="16"/>
      <c r="O300" s="16"/>
      <c r="P300" s="16"/>
    </row>
    <row r="301" spans="12:16" x14ac:dyDescent="0.2">
      <c r="L301" s="16"/>
      <c r="M301" s="16"/>
      <c r="N301" s="16"/>
      <c r="O301" s="16"/>
      <c r="P301" s="16"/>
    </row>
    <row r="302" spans="12:16" x14ac:dyDescent="0.2">
      <c r="L302" s="16"/>
      <c r="M302" s="16"/>
      <c r="N302" s="16"/>
      <c r="O302" s="16"/>
      <c r="P302" s="16"/>
    </row>
    <row r="303" spans="12:16" x14ac:dyDescent="0.2">
      <c r="L303" s="16"/>
      <c r="M303" s="16"/>
      <c r="N303" s="16"/>
      <c r="O303" s="16"/>
      <c r="P303" s="16"/>
    </row>
    <row r="304" spans="12:16" x14ac:dyDescent="0.2">
      <c r="L304" s="16"/>
      <c r="M304" s="16"/>
      <c r="N304" s="16"/>
      <c r="O304" s="16"/>
      <c r="P304" s="16"/>
    </row>
    <row r="305" spans="12:16" x14ac:dyDescent="0.2">
      <c r="L305" s="16"/>
      <c r="M305" s="16"/>
      <c r="N305" s="16"/>
      <c r="O305" s="16"/>
      <c r="P305" s="16"/>
    </row>
    <row r="306" spans="12:16" x14ac:dyDescent="0.2">
      <c r="L306" s="16"/>
      <c r="M306" s="16"/>
      <c r="N306" s="16"/>
      <c r="O306" s="16"/>
      <c r="P306" s="16"/>
    </row>
    <row r="307" spans="12:16" x14ac:dyDescent="0.2">
      <c r="L307" s="16"/>
      <c r="M307" s="16"/>
      <c r="N307" s="16"/>
      <c r="O307" s="16"/>
      <c r="P307" s="16"/>
    </row>
    <row r="308" spans="12:16" x14ac:dyDescent="0.2">
      <c r="L308" s="16"/>
      <c r="M308" s="16"/>
      <c r="N308" s="16"/>
      <c r="O308" s="16"/>
      <c r="P308" s="16"/>
    </row>
    <row r="309" spans="12:16" x14ac:dyDescent="0.2">
      <c r="L309" s="16"/>
      <c r="M309" s="16"/>
      <c r="N309" s="16"/>
      <c r="O309" s="16"/>
      <c r="P309" s="16"/>
    </row>
    <row r="310" spans="12:16" x14ac:dyDescent="0.2">
      <c r="L310" s="16"/>
      <c r="M310" s="16"/>
      <c r="N310" s="16"/>
      <c r="O310" s="16"/>
      <c r="P310" s="16"/>
    </row>
    <row r="311" spans="12:16" x14ac:dyDescent="0.2">
      <c r="L311" s="16"/>
      <c r="M311" s="16"/>
      <c r="N311" s="16"/>
      <c r="O311" s="16"/>
      <c r="P311" s="16"/>
    </row>
    <row r="312" spans="12:16" x14ac:dyDescent="0.2">
      <c r="L312" s="16"/>
      <c r="M312" s="16"/>
      <c r="N312" s="16"/>
      <c r="O312" s="16"/>
      <c r="P312" s="16"/>
    </row>
    <row r="313" spans="12:16" x14ac:dyDescent="0.2">
      <c r="L313" s="16"/>
      <c r="M313" s="16"/>
      <c r="N313" s="16"/>
      <c r="O313" s="16"/>
      <c r="P313" s="16"/>
    </row>
    <row r="314" spans="12:16" x14ac:dyDescent="0.2">
      <c r="L314" s="16"/>
      <c r="M314" s="16"/>
      <c r="N314" s="16"/>
      <c r="O314" s="16"/>
      <c r="P314" s="16"/>
    </row>
    <row r="315" spans="12:16" x14ac:dyDescent="0.2">
      <c r="L315" s="16"/>
      <c r="M315" s="16"/>
      <c r="N315" s="16"/>
      <c r="O315" s="16"/>
      <c r="P315" s="16"/>
    </row>
    <row r="316" spans="12:16" x14ac:dyDescent="0.2">
      <c r="L316" s="16"/>
      <c r="M316" s="16"/>
      <c r="N316" s="16"/>
      <c r="O316" s="16"/>
      <c r="P316" s="16"/>
    </row>
    <row r="317" spans="12:16" x14ac:dyDescent="0.2">
      <c r="L317" s="16"/>
      <c r="M317" s="16"/>
      <c r="N317" s="16"/>
      <c r="O317" s="16"/>
      <c r="P317" s="16"/>
    </row>
    <row r="318" spans="12:16" x14ac:dyDescent="0.2">
      <c r="L318" s="16"/>
      <c r="M318" s="16"/>
      <c r="N318" s="16"/>
      <c r="O318" s="16"/>
      <c r="P318" s="16"/>
    </row>
    <row r="319" spans="12:16" x14ac:dyDescent="0.2">
      <c r="L319" s="16"/>
      <c r="M319" s="16"/>
      <c r="N319" s="16"/>
      <c r="O319" s="16"/>
      <c r="P319" s="16"/>
    </row>
    <row r="320" spans="12:16" x14ac:dyDescent="0.2">
      <c r="L320" s="16"/>
      <c r="M320" s="16"/>
      <c r="N320" s="16"/>
      <c r="O320" s="16"/>
      <c r="P320" s="16"/>
    </row>
    <row r="321" spans="12:16" x14ac:dyDescent="0.2">
      <c r="L321" s="16"/>
      <c r="M321" s="16"/>
      <c r="N321" s="16"/>
      <c r="O321" s="16"/>
      <c r="P321" s="16"/>
    </row>
    <row r="322" spans="12:16" x14ac:dyDescent="0.2">
      <c r="L322" s="16"/>
      <c r="M322" s="16"/>
      <c r="N322" s="16"/>
      <c r="O322" s="16"/>
      <c r="P322" s="16"/>
    </row>
    <row r="323" spans="12:16" x14ac:dyDescent="0.2">
      <c r="L323" s="16"/>
      <c r="M323" s="16"/>
      <c r="N323" s="16"/>
      <c r="O323" s="16"/>
      <c r="P323" s="16"/>
    </row>
    <row r="324" spans="12:16" x14ac:dyDescent="0.2">
      <c r="L324" s="16"/>
      <c r="M324" s="16"/>
      <c r="N324" s="16"/>
      <c r="O324" s="16"/>
      <c r="P324" s="16"/>
    </row>
    <row r="325" spans="12:16" x14ac:dyDescent="0.2">
      <c r="L325" s="16"/>
      <c r="M325" s="16"/>
      <c r="N325" s="16"/>
      <c r="O325" s="16"/>
      <c r="P325" s="16"/>
    </row>
    <row r="326" spans="12:16" x14ac:dyDescent="0.2">
      <c r="L326" s="16"/>
      <c r="M326" s="16"/>
      <c r="N326" s="16"/>
      <c r="O326" s="16"/>
      <c r="P326" s="16"/>
    </row>
    <row r="327" spans="12:16" x14ac:dyDescent="0.2">
      <c r="L327" s="16"/>
      <c r="M327" s="16"/>
      <c r="N327" s="16"/>
      <c r="O327" s="16"/>
      <c r="P327" s="16"/>
    </row>
    <row r="328" spans="12:16" x14ac:dyDescent="0.2">
      <c r="L328" s="16"/>
      <c r="M328" s="16"/>
      <c r="N328" s="16"/>
      <c r="O328" s="16"/>
      <c r="P328" s="16"/>
    </row>
    <row r="329" spans="12:16" x14ac:dyDescent="0.2">
      <c r="L329" s="16"/>
      <c r="M329" s="16"/>
      <c r="N329" s="16"/>
      <c r="O329" s="16"/>
      <c r="P329" s="16"/>
    </row>
    <row r="330" spans="12:16" x14ac:dyDescent="0.2">
      <c r="L330" s="16"/>
      <c r="M330" s="16"/>
      <c r="N330" s="16"/>
      <c r="O330" s="16"/>
      <c r="P330" s="16"/>
    </row>
    <row r="331" spans="12:16" x14ac:dyDescent="0.2">
      <c r="L331" s="16"/>
      <c r="M331" s="16"/>
      <c r="N331" s="16"/>
      <c r="O331" s="16"/>
      <c r="P331" s="16"/>
    </row>
    <row r="332" spans="12:16" x14ac:dyDescent="0.2">
      <c r="L332" s="16"/>
      <c r="M332" s="16"/>
      <c r="N332" s="16"/>
      <c r="O332" s="16"/>
      <c r="P332" s="16"/>
    </row>
    <row r="333" spans="12:16" x14ac:dyDescent="0.2">
      <c r="L333" s="16"/>
      <c r="M333" s="16"/>
      <c r="N333" s="16"/>
      <c r="O333" s="16"/>
      <c r="P333" s="16"/>
    </row>
    <row r="334" spans="12:16" x14ac:dyDescent="0.2">
      <c r="L334" s="16"/>
      <c r="M334" s="16"/>
      <c r="N334" s="16"/>
      <c r="O334" s="16"/>
      <c r="P334" s="16"/>
    </row>
    <row r="335" spans="12:16" x14ac:dyDescent="0.2">
      <c r="L335" s="16"/>
      <c r="M335" s="16"/>
      <c r="N335" s="16"/>
      <c r="O335" s="16"/>
      <c r="P335" s="16"/>
    </row>
    <row r="336" spans="12:16" x14ac:dyDescent="0.2">
      <c r="L336" s="16"/>
      <c r="M336" s="16"/>
      <c r="N336" s="16"/>
      <c r="O336" s="16"/>
      <c r="P336" s="16"/>
    </row>
    <row r="337" spans="12:16" x14ac:dyDescent="0.2">
      <c r="L337" s="16"/>
      <c r="M337" s="16"/>
      <c r="N337" s="16"/>
      <c r="O337" s="16"/>
      <c r="P337" s="16"/>
    </row>
    <row r="338" spans="12:16" x14ac:dyDescent="0.2">
      <c r="L338" s="16"/>
      <c r="M338" s="16"/>
      <c r="N338" s="16"/>
      <c r="O338" s="16"/>
      <c r="P338" s="16"/>
    </row>
    <row r="339" spans="12:16" x14ac:dyDescent="0.2">
      <c r="L339" s="16"/>
      <c r="M339" s="16"/>
      <c r="N339" s="16"/>
      <c r="O339" s="16"/>
      <c r="P339" s="16"/>
    </row>
    <row r="340" spans="12:16" x14ac:dyDescent="0.2">
      <c r="L340" s="16"/>
      <c r="M340" s="16"/>
      <c r="N340" s="16"/>
      <c r="O340" s="16"/>
      <c r="P340" s="16"/>
    </row>
    <row r="341" spans="12:16" x14ac:dyDescent="0.2">
      <c r="L341" s="16"/>
      <c r="M341" s="16"/>
      <c r="N341" s="16"/>
      <c r="O341" s="16"/>
      <c r="P341" s="16"/>
    </row>
    <row r="342" spans="12:16" x14ac:dyDescent="0.2">
      <c r="L342" s="16"/>
      <c r="M342" s="16"/>
      <c r="N342" s="16"/>
      <c r="O342" s="16"/>
      <c r="P342" s="16"/>
    </row>
    <row r="343" spans="12:16" x14ac:dyDescent="0.2">
      <c r="L343" s="16"/>
      <c r="M343" s="16"/>
      <c r="N343" s="16"/>
      <c r="O343" s="16"/>
      <c r="P343" s="16"/>
    </row>
    <row r="344" spans="12:16" x14ac:dyDescent="0.2">
      <c r="L344" s="16"/>
      <c r="M344" s="16"/>
      <c r="N344" s="16"/>
      <c r="O344" s="16"/>
      <c r="P344" s="16"/>
    </row>
    <row r="345" spans="12:16" x14ac:dyDescent="0.2">
      <c r="L345" s="16"/>
      <c r="M345" s="16"/>
      <c r="N345" s="16"/>
      <c r="O345" s="16"/>
      <c r="P345" s="16"/>
    </row>
    <row r="346" spans="12:16" x14ac:dyDescent="0.2">
      <c r="L346" s="16"/>
      <c r="M346" s="16"/>
      <c r="N346" s="16"/>
      <c r="O346" s="16"/>
      <c r="P346" s="16"/>
    </row>
    <row r="347" spans="12:16" x14ac:dyDescent="0.2">
      <c r="L347" s="16"/>
      <c r="M347" s="16"/>
      <c r="N347" s="16"/>
      <c r="O347" s="16"/>
      <c r="P347" s="16"/>
    </row>
    <row r="348" spans="12:16" x14ac:dyDescent="0.2">
      <c r="L348" s="16"/>
      <c r="M348" s="16"/>
      <c r="N348" s="16"/>
      <c r="O348" s="16"/>
      <c r="P348" s="16"/>
    </row>
    <row r="349" spans="12:16" x14ac:dyDescent="0.2">
      <c r="L349" s="16"/>
      <c r="M349" s="16"/>
      <c r="N349" s="16"/>
      <c r="O349" s="16"/>
      <c r="P349" s="16"/>
    </row>
    <row r="350" spans="12:16" x14ac:dyDescent="0.2">
      <c r="L350" s="16"/>
      <c r="M350" s="16"/>
      <c r="N350" s="16"/>
      <c r="O350" s="16"/>
      <c r="P350" s="16"/>
    </row>
    <row r="351" spans="12:16" x14ac:dyDescent="0.2">
      <c r="L351" s="16"/>
      <c r="M351" s="16"/>
      <c r="N351" s="16"/>
      <c r="O351" s="16"/>
      <c r="P351" s="16"/>
    </row>
    <row r="352" spans="12:16" x14ac:dyDescent="0.2">
      <c r="L352" s="16"/>
      <c r="M352" s="16"/>
      <c r="N352" s="16"/>
      <c r="O352" s="16"/>
      <c r="P352" s="16"/>
    </row>
    <row r="353" spans="12:16" x14ac:dyDescent="0.2">
      <c r="L353" s="16"/>
      <c r="M353" s="16"/>
      <c r="N353" s="16"/>
      <c r="O353" s="16"/>
      <c r="P353" s="16"/>
    </row>
    <row r="354" spans="12:16" x14ac:dyDescent="0.2">
      <c r="L354" s="16"/>
      <c r="M354" s="16"/>
      <c r="N354" s="16"/>
      <c r="O354" s="16"/>
      <c r="P354" s="16"/>
    </row>
    <row r="355" spans="12:16" x14ac:dyDescent="0.2">
      <c r="L355" s="16"/>
      <c r="M355" s="16"/>
      <c r="N355" s="16"/>
      <c r="O355" s="16"/>
      <c r="P355" s="16"/>
    </row>
    <row r="356" spans="12:16" x14ac:dyDescent="0.2">
      <c r="L356" s="16"/>
      <c r="M356" s="16"/>
      <c r="N356" s="16"/>
      <c r="O356" s="16"/>
      <c r="P356" s="16"/>
    </row>
    <row r="357" spans="12:16" x14ac:dyDescent="0.2">
      <c r="L357" s="16"/>
      <c r="M357" s="16"/>
      <c r="N357" s="16"/>
      <c r="O357" s="16"/>
      <c r="P357" s="16"/>
    </row>
    <row r="358" spans="12:16" x14ac:dyDescent="0.2">
      <c r="L358" s="16"/>
      <c r="M358" s="16"/>
      <c r="N358" s="16"/>
      <c r="O358" s="16"/>
      <c r="P358" s="16"/>
    </row>
    <row r="359" spans="12:16" x14ac:dyDescent="0.2">
      <c r="L359" s="16"/>
      <c r="M359" s="16"/>
      <c r="N359" s="16"/>
      <c r="O359" s="16"/>
      <c r="P359" s="16"/>
    </row>
    <row r="360" spans="12:16" x14ac:dyDescent="0.2">
      <c r="L360" s="16"/>
      <c r="M360" s="16"/>
      <c r="N360" s="16"/>
      <c r="O360" s="16"/>
      <c r="P360" s="16"/>
    </row>
    <row r="361" spans="12:16" x14ac:dyDescent="0.2">
      <c r="L361" s="16"/>
      <c r="M361" s="16"/>
      <c r="N361" s="16"/>
      <c r="O361" s="16"/>
      <c r="P361" s="16"/>
    </row>
    <row r="362" spans="12:16" x14ac:dyDescent="0.2">
      <c r="L362" s="16"/>
      <c r="M362" s="16"/>
      <c r="N362" s="16"/>
      <c r="O362" s="16"/>
      <c r="P362" s="16"/>
    </row>
    <row r="363" spans="12:16" x14ac:dyDescent="0.2">
      <c r="L363" s="16"/>
      <c r="M363" s="16"/>
      <c r="N363" s="16"/>
      <c r="O363" s="16"/>
      <c r="P363" s="16"/>
    </row>
    <row r="364" spans="12:16" x14ac:dyDescent="0.2">
      <c r="L364" s="16"/>
      <c r="M364" s="16"/>
      <c r="N364" s="16"/>
      <c r="O364" s="16"/>
      <c r="P364" s="16"/>
    </row>
    <row r="365" spans="12:16" x14ac:dyDescent="0.2">
      <c r="L365" s="16"/>
      <c r="M365" s="16"/>
      <c r="N365" s="16"/>
      <c r="O365" s="16"/>
      <c r="P365" s="16"/>
    </row>
    <row r="366" spans="12:16" x14ac:dyDescent="0.2">
      <c r="L366" s="16"/>
      <c r="M366" s="16"/>
      <c r="N366" s="16"/>
      <c r="O366" s="16"/>
      <c r="P366" s="16"/>
    </row>
    <row r="367" spans="12:16" x14ac:dyDescent="0.2">
      <c r="L367" s="16"/>
      <c r="M367" s="16"/>
      <c r="N367" s="16"/>
      <c r="O367" s="16"/>
      <c r="P367" s="16"/>
    </row>
    <row r="368" spans="12:16" x14ac:dyDescent="0.2">
      <c r="L368" s="16"/>
      <c r="M368" s="16"/>
      <c r="N368" s="16"/>
      <c r="O368" s="16"/>
      <c r="P368" s="16"/>
    </row>
    <row r="369" spans="12:16" x14ac:dyDescent="0.2">
      <c r="L369" s="16"/>
      <c r="M369" s="16"/>
      <c r="N369" s="16"/>
      <c r="O369" s="16"/>
      <c r="P369" s="16"/>
    </row>
    <row r="370" spans="12:16" x14ac:dyDescent="0.2">
      <c r="L370" s="16"/>
      <c r="M370" s="16"/>
      <c r="N370" s="16"/>
      <c r="O370" s="16"/>
      <c r="P370" s="16"/>
    </row>
    <row r="371" spans="12:16" x14ac:dyDescent="0.2">
      <c r="L371" s="16"/>
      <c r="M371" s="16"/>
      <c r="N371" s="16"/>
      <c r="O371" s="16"/>
      <c r="P371" s="16"/>
    </row>
    <row r="372" spans="12:16" x14ac:dyDescent="0.2">
      <c r="L372" s="16"/>
      <c r="M372" s="16"/>
      <c r="N372" s="16"/>
      <c r="O372" s="16"/>
      <c r="P372" s="16"/>
    </row>
    <row r="373" spans="12:16" x14ac:dyDescent="0.2">
      <c r="L373" s="16"/>
      <c r="M373" s="16"/>
      <c r="N373" s="16"/>
      <c r="O373" s="16"/>
      <c r="P373" s="16"/>
    </row>
    <row r="374" spans="12:16" x14ac:dyDescent="0.2">
      <c r="L374" s="16"/>
      <c r="M374" s="16"/>
      <c r="N374" s="16"/>
      <c r="O374" s="16"/>
      <c r="P374" s="16"/>
    </row>
    <row r="375" spans="12:16" x14ac:dyDescent="0.2">
      <c r="L375" s="16"/>
      <c r="M375" s="16"/>
      <c r="N375" s="16"/>
      <c r="O375" s="16"/>
      <c r="P375" s="16"/>
    </row>
    <row r="376" spans="12:16" x14ac:dyDescent="0.2">
      <c r="L376" s="16"/>
      <c r="M376" s="16"/>
      <c r="N376" s="16"/>
      <c r="O376" s="16"/>
      <c r="P376" s="16"/>
    </row>
    <row r="377" spans="12:16" x14ac:dyDescent="0.2">
      <c r="L377" s="16"/>
      <c r="M377" s="16"/>
      <c r="N377" s="16"/>
      <c r="O377" s="16"/>
      <c r="P377" s="16"/>
    </row>
    <row r="378" spans="12:16" x14ac:dyDescent="0.2">
      <c r="L378" s="16"/>
      <c r="M378" s="16"/>
      <c r="N378" s="16"/>
      <c r="O378" s="16"/>
      <c r="P378" s="16"/>
    </row>
    <row r="379" spans="12:16" x14ac:dyDescent="0.2">
      <c r="L379" s="16"/>
      <c r="M379" s="16"/>
      <c r="N379" s="16"/>
      <c r="O379" s="16"/>
      <c r="P379" s="16"/>
    </row>
    <row r="380" spans="12:16" x14ac:dyDescent="0.2">
      <c r="L380" s="16"/>
      <c r="M380" s="16"/>
      <c r="N380" s="16"/>
      <c r="O380" s="16"/>
      <c r="P380" s="16"/>
    </row>
    <row r="381" spans="12:16" x14ac:dyDescent="0.2">
      <c r="L381" s="16"/>
      <c r="M381" s="16"/>
      <c r="N381" s="16"/>
      <c r="O381" s="16"/>
      <c r="P381" s="16"/>
    </row>
    <row r="382" spans="12:16" x14ac:dyDescent="0.2">
      <c r="L382" s="16"/>
      <c r="M382" s="16"/>
      <c r="N382" s="16"/>
      <c r="O382" s="16"/>
      <c r="P382" s="16"/>
    </row>
    <row r="383" spans="12:16" x14ac:dyDescent="0.2">
      <c r="L383" s="16"/>
      <c r="M383" s="16"/>
      <c r="N383" s="16"/>
      <c r="O383" s="16"/>
      <c r="P383" s="16"/>
    </row>
    <row r="384" spans="12:16" x14ac:dyDescent="0.2">
      <c r="L384" s="16"/>
      <c r="M384" s="16"/>
      <c r="N384" s="16"/>
      <c r="O384" s="16"/>
      <c r="P384" s="16"/>
    </row>
    <row r="385" spans="12:16" x14ac:dyDescent="0.2">
      <c r="L385" s="16"/>
      <c r="M385" s="16"/>
      <c r="N385" s="16"/>
      <c r="O385" s="16"/>
      <c r="P385" s="16"/>
    </row>
    <row r="386" spans="12:16" x14ac:dyDescent="0.2">
      <c r="L386" s="16"/>
      <c r="M386" s="16"/>
      <c r="N386" s="16"/>
      <c r="O386" s="16"/>
      <c r="P386" s="16"/>
    </row>
    <row r="387" spans="12:16" x14ac:dyDescent="0.2">
      <c r="L387" s="16"/>
      <c r="M387" s="16"/>
      <c r="N387" s="16"/>
      <c r="O387" s="16"/>
      <c r="P387" s="16"/>
    </row>
    <row r="388" spans="12:16" x14ac:dyDescent="0.2">
      <c r="L388" s="16"/>
      <c r="M388" s="16"/>
      <c r="N388" s="16"/>
      <c r="O388" s="16"/>
      <c r="P388" s="16"/>
    </row>
    <row r="389" spans="12:16" x14ac:dyDescent="0.2">
      <c r="L389" s="16"/>
      <c r="M389" s="16"/>
      <c r="N389" s="16"/>
      <c r="O389" s="16"/>
      <c r="P389" s="16"/>
    </row>
    <row r="390" spans="12:16" x14ac:dyDescent="0.2">
      <c r="L390" s="16"/>
      <c r="M390" s="16"/>
      <c r="N390" s="16"/>
      <c r="O390" s="16"/>
      <c r="P390" s="16"/>
    </row>
    <row r="391" spans="12:16" x14ac:dyDescent="0.2">
      <c r="L391" s="16"/>
      <c r="M391" s="16"/>
      <c r="N391" s="16"/>
      <c r="O391" s="16"/>
      <c r="P391" s="16"/>
    </row>
    <row r="392" spans="12:16" x14ac:dyDescent="0.2">
      <c r="L392" s="16"/>
      <c r="M392" s="16"/>
      <c r="N392" s="16"/>
      <c r="O392" s="16"/>
      <c r="P392" s="16"/>
    </row>
    <row r="393" spans="12:16" x14ac:dyDescent="0.2">
      <c r="L393" s="16"/>
      <c r="M393" s="16"/>
      <c r="N393" s="16"/>
      <c r="O393" s="16"/>
      <c r="P393" s="16"/>
    </row>
    <row r="394" spans="12:16" x14ac:dyDescent="0.2">
      <c r="L394" s="16"/>
      <c r="M394" s="16"/>
      <c r="N394" s="16"/>
      <c r="O394" s="16"/>
      <c r="P394" s="16"/>
    </row>
    <row r="395" spans="12:16" x14ac:dyDescent="0.2">
      <c r="L395" s="16"/>
      <c r="M395" s="16"/>
      <c r="N395" s="16"/>
      <c r="O395" s="16"/>
      <c r="P395" s="16"/>
    </row>
    <row r="396" spans="12:16" x14ac:dyDescent="0.2">
      <c r="L396" s="16"/>
      <c r="M396" s="16"/>
      <c r="N396" s="16"/>
      <c r="O396" s="16"/>
      <c r="P396" s="16"/>
    </row>
    <row r="397" spans="12:16" x14ac:dyDescent="0.2">
      <c r="L397" s="16"/>
      <c r="M397" s="16"/>
      <c r="N397" s="16"/>
      <c r="O397" s="16"/>
      <c r="P397" s="16"/>
    </row>
    <row r="398" spans="12:16" x14ac:dyDescent="0.2">
      <c r="L398" s="16"/>
      <c r="M398" s="16"/>
      <c r="N398" s="16"/>
      <c r="O398" s="16"/>
      <c r="P398" s="16"/>
    </row>
    <row r="399" spans="12:16" x14ac:dyDescent="0.2">
      <c r="L399" s="16"/>
      <c r="M399" s="16"/>
      <c r="N399" s="16"/>
      <c r="O399" s="16"/>
      <c r="P399" s="16"/>
    </row>
    <row r="400" spans="12:16" x14ac:dyDescent="0.2">
      <c r="L400" s="16"/>
      <c r="M400" s="16"/>
      <c r="N400" s="16"/>
      <c r="O400" s="16"/>
      <c r="P400" s="16"/>
    </row>
    <row r="401" spans="12:16" x14ac:dyDescent="0.2">
      <c r="L401" s="16"/>
      <c r="M401" s="16"/>
      <c r="N401" s="16"/>
      <c r="O401" s="16"/>
      <c r="P401" s="16"/>
    </row>
    <row r="402" spans="12:16" x14ac:dyDescent="0.2">
      <c r="L402" s="16"/>
      <c r="M402" s="16"/>
      <c r="N402" s="16"/>
      <c r="O402" s="16"/>
      <c r="P402" s="16"/>
    </row>
    <row r="403" spans="12:16" x14ac:dyDescent="0.2">
      <c r="L403" s="16"/>
      <c r="M403" s="16"/>
      <c r="N403" s="16"/>
      <c r="O403" s="16"/>
      <c r="P403" s="16"/>
    </row>
    <row r="404" spans="12:16" x14ac:dyDescent="0.2">
      <c r="L404" s="16"/>
      <c r="M404" s="16"/>
      <c r="N404" s="16"/>
      <c r="O404" s="16"/>
      <c r="P404" s="16"/>
    </row>
    <row r="405" spans="12:16" x14ac:dyDescent="0.2">
      <c r="L405" s="16"/>
      <c r="M405" s="16"/>
      <c r="N405" s="16"/>
      <c r="O405" s="16"/>
      <c r="P405" s="16"/>
    </row>
    <row r="406" spans="12:16" x14ac:dyDescent="0.2">
      <c r="L406" s="16"/>
      <c r="M406" s="16"/>
      <c r="N406" s="16"/>
      <c r="O406" s="16"/>
      <c r="P406" s="16"/>
    </row>
    <row r="407" spans="12:16" x14ac:dyDescent="0.2">
      <c r="L407" s="16"/>
      <c r="M407" s="16"/>
      <c r="N407" s="16"/>
      <c r="O407" s="16"/>
      <c r="P407" s="16"/>
    </row>
    <row r="408" spans="12:16" x14ac:dyDescent="0.2">
      <c r="L408" s="16"/>
      <c r="M408" s="16"/>
      <c r="N408" s="16"/>
      <c r="O408" s="16"/>
      <c r="P408" s="16"/>
    </row>
    <row r="409" spans="12:16" x14ac:dyDescent="0.2">
      <c r="L409" s="16"/>
      <c r="M409" s="16"/>
      <c r="N409" s="16"/>
      <c r="O409" s="16"/>
      <c r="P409" s="16"/>
    </row>
    <row r="410" spans="12:16" x14ac:dyDescent="0.2">
      <c r="L410" s="16"/>
      <c r="M410" s="16"/>
      <c r="N410" s="16"/>
      <c r="O410" s="16"/>
      <c r="P410" s="16"/>
    </row>
    <row r="411" spans="12:16" x14ac:dyDescent="0.2">
      <c r="L411" s="16"/>
      <c r="M411" s="16"/>
      <c r="N411" s="16"/>
      <c r="O411" s="16"/>
      <c r="P411" s="16"/>
    </row>
    <row r="412" spans="12:16" x14ac:dyDescent="0.2">
      <c r="L412" s="16"/>
      <c r="M412" s="16"/>
      <c r="N412" s="16"/>
      <c r="O412" s="16"/>
      <c r="P412" s="16"/>
    </row>
    <row r="413" spans="12:16" x14ac:dyDescent="0.2">
      <c r="L413" s="16"/>
      <c r="M413" s="16"/>
      <c r="N413" s="16"/>
      <c r="O413" s="16"/>
      <c r="P413" s="16"/>
    </row>
    <row r="414" spans="12:16" x14ac:dyDescent="0.2">
      <c r="L414" s="16"/>
      <c r="M414" s="16"/>
      <c r="N414" s="16"/>
      <c r="O414" s="16"/>
      <c r="P414" s="16"/>
    </row>
    <row r="415" spans="12:16" x14ac:dyDescent="0.2">
      <c r="L415" s="16"/>
      <c r="M415" s="16"/>
      <c r="N415" s="16"/>
      <c r="O415" s="16"/>
      <c r="P415" s="16"/>
    </row>
    <row r="416" spans="12:16" x14ac:dyDescent="0.2">
      <c r="L416" s="16"/>
      <c r="M416" s="16"/>
      <c r="N416" s="16"/>
      <c r="O416" s="16"/>
      <c r="P416" s="16"/>
    </row>
    <row r="417" spans="12:16" x14ac:dyDescent="0.2">
      <c r="L417" s="16"/>
      <c r="M417" s="16"/>
      <c r="N417" s="16"/>
      <c r="O417" s="16"/>
      <c r="P417" s="16"/>
    </row>
    <row r="418" spans="12:16" x14ac:dyDescent="0.2">
      <c r="L418" s="16"/>
      <c r="M418" s="16"/>
      <c r="N418" s="16"/>
      <c r="O418" s="16"/>
      <c r="P418" s="16"/>
    </row>
    <row r="419" spans="12:16" x14ac:dyDescent="0.2">
      <c r="L419" s="16"/>
      <c r="M419" s="16"/>
      <c r="N419" s="16"/>
      <c r="O419" s="16"/>
      <c r="P419" s="16"/>
    </row>
    <row r="420" spans="12:16" x14ac:dyDescent="0.2">
      <c r="L420" s="16"/>
      <c r="M420" s="16"/>
      <c r="N420" s="16"/>
      <c r="O420" s="16"/>
      <c r="P420" s="16"/>
    </row>
    <row r="421" spans="12:16" x14ac:dyDescent="0.2">
      <c r="L421" s="16"/>
      <c r="M421" s="16"/>
      <c r="N421" s="16"/>
      <c r="O421" s="16"/>
      <c r="P421" s="16"/>
    </row>
    <row r="422" spans="12:16" x14ac:dyDescent="0.2">
      <c r="L422" s="16"/>
      <c r="M422" s="16"/>
      <c r="N422" s="16"/>
      <c r="O422" s="16"/>
      <c r="P422" s="16"/>
    </row>
    <row r="423" spans="12:16" x14ac:dyDescent="0.2">
      <c r="L423" s="16"/>
      <c r="M423" s="16"/>
      <c r="N423" s="16"/>
      <c r="O423" s="16"/>
      <c r="P423" s="16"/>
    </row>
    <row r="424" spans="12:16" x14ac:dyDescent="0.2">
      <c r="L424" s="16"/>
      <c r="M424" s="16"/>
      <c r="N424" s="16"/>
      <c r="O424" s="16"/>
      <c r="P424" s="16"/>
    </row>
    <row r="425" spans="12:16" x14ac:dyDescent="0.2">
      <c r="L425" s="16"/>
      <c r="M425" s="16"/>
      <c r="N425" s="16"/>
      <c r="O425" s="16"/>
      <c r="P425" s="16"/>
    </row>
    <row r="426" spans="12:16" x14ac:dyDescent="0.2">
      <c r="L426" s="16"/>
      <c r="M426" s="16"/>
      <c r="N426" s="16"/>
      <c r="O426" s="16"/>
      <c r="P426" s="16"/>
    </row>
    <row r="427" spans="12:16" x14ac:dyDescent="0.2">
      <c r="L427" s="16"/>
      <c r="M427" s="16"/>
      <c r="N427" s="16"/>
      <c r="O427" s="16"/>
      <c r="P427" s="16"/>
    </row>
    <row r="428" spans="12:16" x14ac:dyDescent="0.2">
      <c r="L428" s="16"/>
      <c r="M428" s="16"/>
      <c r="N428" s="16"/>
      <c r="O428" s="16"/>
      <c r="P428" s="16"/>
    </row>
    <row r="429" spans="12:16" x14ac:dyDescent="0.2">
      <c r="L429" s="16"/>
      <c r="M429" s="16"/>
      <c r="N429" s="16"/>
      <c r="O429" s="16"/>
      <c r="P429" s="16"/>
    </row>
    <row r="430" spans="12:16" x14ac:dyDescent="0.2">
      <c r="L430" s="16"/>
      <c r="M430" s="16"/>
      <c r="N430" s="16"/>
      <c r="O430" s="16"/>
      <c r="P430" s="16"/>
    </row>
    <row r="431" spans="12:16" x14ac:dyDescent="0.2">
      <c r="L431" s="16"/>
      <c r="M431" s="16"/>
      <c r="N431" s="16"/>
      <c r="O431" s="16"/>
      <c r="P431" s="16"/>
    </row>
    <row r="432" spans="12:16" x14ac:dyDescent="0.2">
      <c r="L432" s="16"/>
      <c r="M432" s="16"/>
      <c r="N432" s="16"/>
      <c r="O432" s="16"/>
      <c r="P432" s="16"/>
    </row>
    <row r="433" spans="12:16" x14ac:dyDescent="0.2">
      <c r="L433" s="16"/>
      <c r="M433" s="16"/>
      <c r="N433" s="16"/>
      <c r="O433" s="16"/>
      <c r="P433" s="16"/>
    </row>
    <row r="434" spans="12:16" x14ac:dyDescent="0.2">
      <c r="L434" s="16"/>
      <c r="M434" s="16"/>
      <c r="N434" s="16"/>
      <c r="O434" s="16"/>
      <c r="P434" s="16"/>
    </row>
    <row r="435" spans="12:16" x14ac:dyDescent="0.2">
      <c r="L435" s="16"/>
      <c r="M435" s="16"/>
      <c r="N435" s="16"/>
      <c r="O435" s="16"/>
      <c r="P435" s="16"/>
    </row>
    <row r="436" spans="12:16" x14ac:dyDescent="0.2">
      <c r="L436" s="16"/>
      <c r="M436" s="16"/>
      <c r="N436" s="16"/>
      <c r="O436" s="16"/>
      <c r="P436" s="16"/>
    </row>
    <row r="437" spans="12:16" x14ac:dyDescent="0.2">
      <c r="L437" s="16"/>
      <c r="M437" s="16"/>
      <c r="N437" s="16"/>
      <c r="O437" s="16"/>
      <c r="P437" s="16"/>
    </row>
    <row r="438" spans="12:16" x14ac:dyDescent="0.2">
      <c r="L438" s="16"/>
      <c r="M438" s="16"/>
      <c r="N438" s="16"/>
      <c r="O438" s="16"/>
      <c r="P438" s="16"/>
    </row>
    <row r="439" spans="12:16" x14ac:dyDescent="0.2">
      <c r="L439" s="16"/>
      <c r="M439" s="16"/>
      <c r="N439" s="16"/>
      <c r="O439" s="16"/>
      <c r="P439" s="16"/>
    </row>
    <row r="440" spans="12:16" x14ac:dyDescent="0.2">
      <c r="L440" s="16"/>
      <c r="M440" s="16"/>
      <c r="N440" s="16"/>
      <c r="O440" s="16"/>
      <c r="P440" s="16"/>
    </row>
    <row r="441" spans="12:16" x14ac:dyDescent="0.2">
      <c r="L441" s="16"/>
      <c r="M441" s="16"/>
      <c r="N441" s="16"/>
      <c r="O441" s="16"/>
      <c r="P441" s="16"/>
    </row>
    <row r="442" spans="12:16" x14ac:dyDescent="0.2">
      <c r="L442" s="16"/>
      <c r="M442" s="16"/>
      <c r="N442" s="16"/>
      <c r="O442" s="16"/>
      <c r="P442" s="16"/>
    </row>
    <row r="443" spans="12:16" x14ac:dyDescent="0.2">
      <c r="L443" s="16"/>
      <c r="M443" s="16"/>
      <c r="N443" s="16"/>
      <c r="O443" s="16"/>
      <c r="P443" s="16"/>
    </row>
    <row r="444" spans="12:16" x14ac:dyDescent="0.2">
      <c r="L444" s="16"/>
      <c r="M444" s="16"/>
      <c r="N444" s="16"/>
      <c r="O444" s="16"/>
      <c r="P444" s="16"/>
    </row>
    <row r="445" spans="12:16" x14ac:dyDescent="0.2">
      <c r="L445" s="16"/>
      <c r="M445" s="16"/>
      <c r="N445" s="16"/>
      <c r="O445" s="16"/>
      <c r="P445" s="16"/>
    </row>
    <row r="446" spans="12:16" x14ac:dyDescent="0.2">
      <c r="L446" s="16"/>
      <c r="M446" s="16"/>
      <c r="N446" s="16"/>
      <c r="O446" s="16"/>
      <c r="P446" s="16"/>
    </row>
    <row r="447" spans="12:16" x14ac:dyDescent="0.2">
      <c r="L447" s="16"/>
      <c r="M447" s="16"/>
      <c r="N447" s="16"/>
      <c r="O447" s="16"/>
      <c r="P447" s="16"/>
    </row>
    <row r="448" spans="12:16" x14ac:dyDescent="0.2">
      <c r="L448" s="16"/>
      <c r="M448" s="16"/>
      <c r="N448" s="16"/>
      <c r="O448" s="16"/>
      <c r="P448" s="16"/>
    </row>
    <row r="449" spans="12:16" x14ac:dyDescent="0.2">
      <c r="L449" s="16"/>
      <c r="M449" s="16"/>
      <c r="N449" s="16"/>
      <c r="O449" s="16"/>
      <c r="P449" s="16"/>
    </row>
    <row r="450" spans="12:16" x14ac:dyDescent="0.2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B2:AN450"/>
  <sheetViews>
    <sheetView zoomScale="90" zoomScaleNormal="90" workbookViewId="0">
      <selection activeCell="W25" sqref="W25"/>
    </sheetView>
  </sheetViews>
  <sheetFormatPr defaultRowHeight="12.75" x14ac:dyDescent="0.2"/>
  <cols>
    <col min="1" max="1" width="5.42578125" style="5" customWidth="1"/>
    <col min="2" max="2" width="8.85546875" style="6" hidden="1" customWidth="1"/>
    <col min="3" max="3" width="8.85546875" style="6" customWidth="1"/>
    <col min="4" max="4" width="22.42578125" style="5" customWidth="1"/>
    <col min="5" max="5" width="9.85546875" style="7" customWidth="1"/>
    <col min="6" max="6" width="13" style="46" customWidth="1"/>
    <col min="7" max="7" width="11.7109375" style="46" customWidth="1"/>
    <col min="8" max="20" width="8.85546875" style="7" hidden="1" customWidth="1"/>
    <col min="21" max="21" width="3.85546875" style="5" customWidth="1"/>
    <col min="22" max="22" width="19" style="5" customWidth="1"/>
    <col min="23" max="23" width="11" style="5" customWidth="1"/>
    <col min="24" max="25" width="9.85546875" style="5" customWidth="1"/>
    <col min="26" max="26" width="11.7109375" style="5" customWidth="1"/>
    <col min="27" max="27" width="4.140625" style="5" customWidth="1"/>
    <col min="28" max="47" width="6.42578125" style="5" customWidth="1"/>
    <col min="48" max="207" width="6.5703125" style="5" customWidth="1"/>
    <col min="208" max="16384" width="9.140625" style="5"/>
  </cols>
  <sheetData>
    <row r="2" spans="2:40" ht="33.75" x14ac:dyDescent="0.5">
      <c r="B2" s="4"/>
      <c r="C2" s="132" t="s">
        <v>57</v>
      </c>
      <c r="D2" s="4"/>
      <c r="V2" s="84" t="s">
        <v>44</v>
      </c>
      <c r="W2" s="84" t="s">
        <v>109</v>
      </c>
      <c r="X2" s="83"/>
    </row>
    <row r="3" spans="2:40" ht="16.5" x14ac:dyDescent="0.25">
      <c r="B3" s="75"/>
      <c r="C3" s="75" t="s">
        <v>50</v>
      </c>
      <c r="D3" s="75"/>
      <c r="E3" s="74"/>
      <c r="V3" s="85" t="s">
        <v>45</v>
      </c>
      <c r="W3" s="84" t="s">
        <v>49</v>
      </c>
      <c r="X3" s="82"/>
    </row>
    <row r="4" spans="2:40" x14ac:dyDescent="0.2">
      <c r="B4" s="73"/>
      <c r="C4" s="73"/>
      <c r="D4" s="73"/>
    </row>
    <row r="5" spans="2:40" s="8" customFormat="1" ht="21.75" customHeight="1" x14ac:dyDescent="0.2">
      <c r="B5" s="76"/>
      <c r="C5" s="76" t="s">
        <v>39</v>
      </c>
      <c r="D5" s="76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6" t="s">
        <v>38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 x14ac:dyDescent="0.2">
      <c r="B6" s="28" t="s">
        <v>51</v>
      </c>
      <c r="C6" s="28" t="s">
        <v>0</v>
      </c>
      <c r="D6" s="29" t="s">
        <v>19</v>
      </c>
      <c r="E6" s="47" t="s">
        <v>26</v>
      </c>
      <c r="F6" s="47" t="s">
        <v>27</v>
      </c>
      <c r="G6" s="47" t="s">
        <v>23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  <c r="M6" s="45" t="s">
        <v>13</v>
      </c>
      <c r="N6" s="45" t="s">
        <v>18</v>
      </c>
      <c r="O6" s="45" t="s">
        <v>75</v>
      </c>
      <c r="P6" s="45" t="s">
        <v>2</v>
      </c>
      <c r="Q6" s="45" t="s">
        <v>5</v>
      </c>
      <c r="R6" s="45"/>
      <c r="S6" s="45"/>
      <c r="T6" s="45"/>
      <c r="U6" s="5"/>
      <c r="V6" s="38" t="s">
        <v>29</v>
      </c>
      <c r="W6" s="39" t="s">
        <v>30</v>
      </c>
      <c r="X6" s="39" t="s">
        <v>26</v>
      </c>
      <c r="Y6" s="39" t="s">
        <v>27</v>
      </c>
      <c r="Z6" s="40" t="s">
        <v>29</v>
      </c>
      <c r="AA6" s="14"/>
      <c r="AB6" s="14"/>
      <c r="AC6" s="14"/>
    </row>
    <row r="7" spans="2:40" s="15" customFormat="1" ht="15.75" customHeight="1" x14ac:dyDescent="0.2">
      <c r="B7" s="89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2</v>
      </c>
      <c r="C7" s="89">
        <v>1</v>
      </c>
      <c r="D7" s="30" t="s">
        <v>61</v>
      </c>
      <c r="E7" s="88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88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49">
        <f>E29</f>
        <v>5.6109381354100885</v>
      </c>
      <c r="H7" s="48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200</v>
      </c>
      <c r="I7" s="57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24.4</v>
      </c>
      <c r="J7" s="57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14.5</v>
      </c>
      <c r="K7" s="57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8.1999999999999993</v>
      </c>
      <c r="L7" s="57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1.44</v>
      </c>
      <c r="M7" s="57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31.7</v>
      </c>
      <c r="N7" s="57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44.2</v>
      </c>
      <c r="O7" s="57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56.2</v>
      </c>
      <c r="P7" s="57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0.36599999999999999</v>
      </c>
      <c r="Q7" s="57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0.23</v>
      </c>
      <c r="R7" s="57"/>
      <c r="S7" s="57"/>
      <c r="T7" s="57"/>
      <c r="U7" s="5"/>
      <c r="V7" s="31" t="s">
        <v>32</v>
      </c>
      <c r="W7" s="32" t="s">
        <v>23</v>
      </c>
      <c r="X7" s="106"/>
      <c r="Y7" s="107" t="s">
        <v>36</v>
      </c>
      <c r="Z7" s="33">
        <f>G45</f>
        <v>72.440888365304446</v>
      </c>
      <c r="AA7" s="14"/>
      <c r="AB7" s="14"/>
      <c r="AC7" s="14"/>
    </row>
    <row r="8" spans="2:40" s="15" customFormat="1" ht="15.75" customHeight="1" x14ac:dyDescent="0.2">
      <c r="B8" s="89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1</v>
      </c>
      <c r="C8" s="89">
        <v>2</v>
      </c>
      <c r="D8" s="30" t="s">
        <v>58</v>
      </c>
      <c r="E8" s="88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88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30</v>
      </c>
      <c r="G8" s="49">
        <f t="shared" ref="G8:G21" si="0">E30</f>
        <v>30</v>
      </c>
      <c r="H8" s="48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200</v>
      </c>
      <c r="I8" s="57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87.5</v>
      </c>
      <c r="J8" s="57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16.899999999999999</v>
      </c>
      <c r="K8" s="57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4.1500000000000004</v>
      </c>
      <c r="L8" s="57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1.47</v>
      </c>
      <c r="M8" s="57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32.5</v>
      </c>
      <c r="N8" s="57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45</v>
      </c>
      <c r="O8" s="57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43.2</v>
      </c>
      <c r="P8" s="57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0.41299999999999998</v>
      </c>
      <c r="Q8" s="57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0.29199999999999998</v>
      </c>
      <c r="R8" s="57"/>
      <c r="S8" s="57"/>
      <c r="T8" s="57"/>
      <c r="U8" s="5"/>
      <c r="V8" s="31" t="s">
        <v>10</v>
      </c>
      <c r="W8" s="32" t="s">
        <v>23</v>
      </c>
      <c r="X8" s="108" t="s">
        <v>36</v>
      </c>
      <c r="Y8" s="107">
        <v>12</v>
      </c>
      <c r="Z8" s="33">
        <f>H45</f>
        <v>12.967907511621387</v>
      </c>
      <c r="AA8" s="14"/>
      <c r="AB8" s="14"/>
      <c r="AC8" s="14"/>
    </row>
    <row r="9" spans="2:40" s="15" customFormat="1" ht="15.75" customHeight="1" x14ac:dyDescent="0.2">
      <c r="B9" s="89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89">
        <v>3</v>
      </c>
      <c r="D9" s="30" t="s">
        <v>63</v>
      </c>
      <c r="E9" s="88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8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30</v>
      </c>
      <c r="G9" s="49">
        <f t="shared" si="0"/>
        <v>16.142107090875921</v>
      </c>
      <c r="H9" s="48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500</v>
      </c>
      <c r="I9" s="57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21.6</v>
      </c>
      <c r="J9" s="57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12.1</v>
      </c>
      <c r="K9" s="57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24.1</v>
      </c>
      <c r="L9" s="57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4.7300000000000004</v>
      </c>
      <c r="M9" s="57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22.1</v>
      </c>
      <c r="N9" s="57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37</v>
      </c>
      <c r="O9" s="57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61.8</v>
      </c>
      <c r="P9" s="57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1.54</v>
      </c>
      <c r="Q9" s="57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0.45700000000000002</v>
      </c>
      <c r="R9" s="57"/>
      <c r="S9" s="57"/>
      <c r="T9" s="57"/>
      <c r="U9" s="5"/>
      <c r="V9" s="31" t="s">
        <v>33</v>
      </c>
      <c r="W9" s="32" t="s">
        <v>23</v>
      </c>
      <c r="X9" s="106">
        <v>12.4</v>
      </c>
      <c r="Y9" s="109">
        <v>13</v>
      </c>
      <c r="Z9" s="34">
        <f>I45</f>
        <v>12.399999999999999</v>
      </c>
      <c r="AA9" s="14"/>
      <c r="AB9" s="14"/>
      <c r="AC9" s="14"/>
    </row>
    <row r="10" spans="2:40" s="15" customFormat="1" ht="15.75" customHeight="1" x14ac:dyDescent="0.2">
      <c r="B10" s="89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89">
        <v>4</v>
      </c>
      <c r="D10" s="30" t="s">
        <v>82</v>
      </c>
      <c r="E10" s="88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8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49">
        <f t="shared" si="0"/>
        <v>27.722740789705274</v>
      </c>
      <c r="H10" s="48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1800</v>
      </c>
      <c r="I10" s="57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87.7</v>
      </c>
      <c r="J10" s="57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13.6</v>
      </c>
      <c r="K10" s="57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13</v>
      </c>
      <c r="L10" s="57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8.64</v>
      </c>
      <c r="M10" s="57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13.9</v>
      </c>
      <c r="N10" s="57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50.9</v>
      </c>
      <c r="O10" s="57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67.900000000000006</v>
      </c>
      <c r="P10" s="57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8.5599999999999996E-2</v>
      </c>
      <c r="Q10" s="57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1.39</v>
      </c>
      <c r="R10" s="57"/>
      <c r="S10" s="57"/>
      <c r="T10" s="57"/>
      <c r="U10" s="5"/>
      <c r="V10" s="31" t="s">
        <v>34</v>
      </c>
      <c r="W10" s="32" t="s">
        <v>23</v>
      </c>
      <c r="X10" s="108"/>
      <c r="Y10" s="107">
        <v>6</v>
      </c>
      <c r="Z10" s="34">
        <f>J45</f>
        <v>5.2211329308228214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 x14ac:dyDescent="0.2">
      <c r="B11" s="89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18</v>
      </c>
      <c r="C11" s="89">
        <v>5</v>
      </c>
      <c r="D11" s="30" t="s">
        <v>16</v>
      </c>
      <c r="E11" s="88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8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30</v>
      </c>
      <c r="G11" s="49">
        <f t="shared" si="0"/>
        <v>14.087788550861919</v>
      </c>
      <c r="H11" s="48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2800</v>
      </c>
      <c r="I11" s="57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88.6</v>
      </c>
      <c r="J11" s="57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8.24</v>
      </c>
      <c r="K11" s="57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21.3</v>
      </c>
      <c r="L11" s="57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10.9</v>
      </c>
      <c r="M11" s="57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14.2</v>
      </c>
      <c r="N11" s="57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45.4</v>
      </c>
      <c r="O11" s="57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78.7</v>
      </c>
      <c r="P11" s="57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0.16500000000000001</v>
      </c>
      <c r="Q11" s="57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0.61599999999999999</v>
      </c>
      <c r="R11" s="57"/>
      <c r="S11" s="57"/>
      <c r="T11" s="57"/>
      <c r="U11" s="5"/>
      <c r="V11" s="31" t="s">
        <v>35</v>
      </c>
      <c r="W11" s="32" t="s">
        <v>23</v>
      </c>
      <c r="X11" s="108" t="s">
        <v>36</v>
      </c>
      <c r="Y11" s="109">
        <v>21</v>
      </c>
      <c r="Z11" s="35">
        <f>K45</f>
        <v>21.000000000000004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 x14ac:dyDescent="0.2">
      <c r="B12" s="89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14</v>
      </c>
      <c r="C12" s="89">
        <v>6</v>
      </c>
      <c r="D12" s="30" t="s">
        <v>54</v>
      </c>
      <c r="E12" s="88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88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30</v>
      </c>
      <c r="G12" s="49">
        <f t="shared" si="0"/>
        <v>0</v>
      </c>
      <c r="H12" s="48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3500</v>
      </c>
      <c r="I12" s="57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32.299999999999997</v>
      </c>
      <c r="J12" s="57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3.3</v>
      </c>
      <c r="K12" s="57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3.3</v>
      </c>
      <c r="L12" s="57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1.51</v>
      </c>
      <c r="M12" s="57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4.1500000000000004</v>
      </c>
      <c r="N12" s="57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87.7</v>
      </c>
      <c r="O12" s="57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81.8</v>
      </c>
      <c r="P12" s="57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0.26</v>
      </c>
      <c r="Q12" s="57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0.16</v>
      </c>
      <c r="R12" s="57"/>
      <c r="S12" s="57"/>
      <c r="T12" s="57"/>
      <c r="U12" s="5"/>
      <c r="V12" s="31" t="s">
        <v>18</v>
      </c>
      <c r="W12" s="32" t="s">
        <v>23</v>
      </c>
      <c r="X12" s="108" t="s">
        <v>36</v>
      </c>
      <c r="Y12" s="107" t="s">
        <v>36</v>
      </c>
      <c r="Z12" s="35">
        <f>L45</f>
        <v>47.004345343526637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 x14ac:dyDescent="0.2">
      <c r="B13" s="89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25</v>
      </c>
      <c r="C13" s="89">
        <v>7</v>
      </c>
      <c r="D13" s="30" t="s">
        <v>85</v>
      </c>
      <c r="E13" s="88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5</v>
      </c>
      <c r="F13" s="88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49">
        <f t="shared" si="0"/>
        <v>5</v>
      </c>
      <c r="H13" s="48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2000</v>
      </c>
      <c r="I13" s="57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70.89</v>
      </c>
      <c r="J13" s="57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4</v>
      </c>
      <c r="K13" s="57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</v>
      </c>
      <c r="L13" s="57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0.1</v>
      </c>
      <c r="M13" s="57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1</v>
      </c>
      <c r="N13" s="57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90.9</v>
      </c>
      <c r="O13" s="57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80</v>
      </c>
      <c r="P13" s="57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0.8</v>
      </c>
      <c r="Q13" s="57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7"/>
      <c r="S13" s="57"/>
      <c r="T13" s="57"/>
      <c r="U13" s="5"/>
      <c r="V13" s="31" t="s">
        <v>75</v>
      </c>
      <c r="W13" s="32" t="s">
        <v>28</v>
      </c>
      <c r="X13" s="108">
        <v>55</v>
      </c>
      <c r="Y13" s="107">
        <v>60</v>
      </c>
      <c r="Z13" s="36">
        <f>M45</f>
        <v>60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 x14ac:dyDescent="0.2">
      <c r="B14" s="89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26</v>
      </c>
      <c r="C14" s="89">
        <v>8</v>
      </c>
      <c r="D14" s="30" t="s">
        <v>86</v>
      </c>
      <c r="E14" s="88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0.25</v>
      </c>
      <c r="F14" s="88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1</v>
      </c>
      <c r="G14" s="49">
        <f t="shared" si="0"/>
        <v>1</v>
      </c>
      <c r="H14" s="48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1500</v>
      </c>
      <c r="I14" s="57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99.6</v>
      </c>
      <c r="J14" s="57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0</v>
      </c>
      <c r="K14" s="57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0</v>
      </c>
      <c r="L14" s="57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0</v>
      </c>
      <c r="M14" s="57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</v>
      </c>
      <c r="N14" s="57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0</v>
      </c>
      <c r="O14" s="57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0</v>
      </c>
      <c r="P14" s="57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</v>
      </c>
      <c r="Q14" s="57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</v>
      </c>
      <c r="R14" s="57"/>
      <c r="S14" s="57"/>
      <c r="T14" s="57"/>
      <c r="U14" s="5"/>
      <c r="V14" s="31" t="s">
        <v>41</v>
      </c>
      <c r="W14" s="32" t="s">
        <v>23</v>
      </c>
      <c r="X14" s="110">
        <v>0.48</v>
      </c>
      <c r="Y14" s="111">
        <v>0.6</v>
      </c>
      <c r="Z14" s="37">
        <f>N45</f>
        <v>0.48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 x14ac:dyDescent="0.2">
      <c r="B15" s="89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27</v>
      </c>
      <c r="C15" s="89">
        <v>9</v>
      </c>
      <c r="D15" s="30" t="s">
        <v>17</v>
      </c>
      <c r="E15" s="88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0</v>
      </c>
      <c r="F15" s="88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2</v>
      </c>
      <c r="G15" s="49">
        <f t="shared" si="0"/>
        <v>0</v>
      </c>
      <c r="H15" s="48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</v>
      </c>
      <c r="I15" s="57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57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</v>
      </c>
      <c r="K15" s="57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57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</v>
      </c>
      <c r="M15" s="57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57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57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0</v>
      </c>
      <c r="P15" s="57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38</v>
      </c>
      <c r="Q15" s="57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57"/>
      <c r="S15" s="57"/>
      <c r="T15" s="57"/>
      <c r="U15" s="5"/>
      <c r="V15" s="31" t="s">
        <v>77</v>
      </c>
      <c r="W15" s="32" t="s">
        <v>23</v>
      </c>
      <c r="X15" s="108">
        <v>0.37</v>
      </c>
      <c r="Y15" s="107"/>
      <c r="Z15" s="37">
        <f>O45</f>
        <v>0.64640146156695888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 x14ac:dyDescent="0.2">
      <c r="B16" s="89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28</v>
      </c>
      <c r="C16" s="89">
        <v>10</v>
      </c>
      <c r="D16" s="30" t="s">
        <v>87</v>
      </c>
      <c r="E16" s="88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88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2</v>
      </c>
      <c r="G16" s="49">
        <f t="shared" si="0"/>
        <v>0</v>
      </c>
      <c r="H16" s="48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750</v>
      </c>
      <c r="I16" s="57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</v>
      </c>
      <c r="J16" s="57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7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7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7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7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7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7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40</v>
      </c>
      <c r="Q16" s="57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7"/>
      <c r="S16" s="57"/>
      <c r="T16" s="57"/>
      <c r="U16" s="5"/>
      <c r="V16" s="78" t="s">
        <v>37</v>
      </c>
      <c r="W16" s="79" t="s">
        <v>31</v>
      </c>
      <c r="X16" s="77">
        <f>F45</f>
        <v>1160.3998253640284</v>
      </c>
      <c r="Y16" s="79"/>
      <c r="Z16" s="79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 x14ac:dyDescent="0.2">
      <c r="B17" s="89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31</v>
      </c>
      <c r="C17" s="89">
        <v>11</v>
      </c>
      <c r="D17" s="30" t="s">
        <v>81</v>
      </c>
      <c r="E17" s="88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8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1</v>
      </c>
      <c r="G17" s="49">
        <f t="shared" si="0"/>
        <v>0</v>
      </c>
      <c r="H17" s="48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30000</v>
      </c>
      <c r="I17" s="57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98</v>
      </c>
      <c r="J17" s="57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7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7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7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7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7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7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</v>
      </c>
      <c r="Q17" s="57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2</v>
      </c>
      <c r="R17" s="57"/>
      <c r="S17" s="57"/>
      <c r="T17" s="57"/>
      <c r="U17" s="5"/>
      <c r="V17" s="81">
        <f ca="1">NOW()</f>
        <v>42090.979192245373</v>
      </c>
      <c r="W17" s="80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 x14ac:dyDescent="0.2">
      <c r="B18" s="89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33</v>
      </c>
      <c r="C18" s="89">
        <v>12</v>
      </c>
      <c r="D18" s="30"/>
      <c r="E18" s="88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8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49">
        <f t="shared" si="0"/>
        <v>0</v>
      </c>
      <c r="H18" s="48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7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7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7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7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7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7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7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7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7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7"/>
      <c r="S18" s="57"/>
      <c r="T18" s="57"/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 x14ac:dyDescent="0.2">
      <c r="B19" s="89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33</v>
      </c>
      <c r="C19" s="89">
        <v>13</v>
      </c>
      <c r="D19" s="30"/>
      <c r="E19" s="88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8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49">
        <f t="shared" si="0"/>
        <v>0</v>
      </c>
      <c r="H19" s="48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7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7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7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7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7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7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7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7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7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7"/>
      <c r="S19" s="57"/>
      <c r="T19" s="57"/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 x14ac:dyDescent="0.2">
      <c r="B20" s="89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33</v>
      </c>
      <c r="C20" s="89">
        <v>14</v>
      </c>
      <c r="D20" s="30"/>
      <c r="E20" s="88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8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49">
        <f t="shared" si="0"/>
        <v>0</v>
      </c>
      <c r="H20" s="48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7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7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7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7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7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7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7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7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7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7"/>
      <c r="S20" s="57"/>
      <c r="T20" s="57"/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 x14ac:dyDescent="0.2">
      <c r="B21" s="89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89">
        <v>15</v>
      </c>
      <c r="D21" s="30"/>
      <c r="E21" s="88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8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49">
        <f t="shared" si="0"/>
        <v>0</v>
      </c>
      <c r="H21" s="48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7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7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7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7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7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7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7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7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7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7"/>
      <c r="S21" s="57"/>
      <c r="T21" s="57"/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 x14ac:dyDescent="0.2">
      <c r="B22" s="41"/>
      <c r="C22" s="41"/>
      <c r="D22" s="42"/>
      <c r="E22" s="50"/>
      <c r="F22" s="50"/>
      <c r="G22" s="43">
        <f>E45</f>
        <v>99.563574566853191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 x14ac:dyDescent="0.2">
      <c r="B23" s="44"/>
      <c r="C23" s="44"/>
      <c r="D23" s="19"/>
      <c r="E23" s="51"/>
      <c r="F23" s="51"/>
      <c r="G23" s="51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 x14ac:dyDescent="0.2">
      <c r="B24" s="44"/>
      <c r="C24" s="44"/>
      <c r="D24" s="19"/>
      <c r="E24" s="51"/>
      <c r="F24" s="51"/>
      <c r="G24" s="51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x14ac:dyDescent="0.2">
      <c r="B25" s="23"/>
      <c r="C25" s="23"/>
      <c r="D25" s="19"/>
      <c r="E25" s="51"/>
      <c r="F25" s="51"/>
      <c r="G25" s="51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 x14ac:dyDescent="0.2">
      <c r="B26" s="23"/>
      <c r="C26" s="23"/>
      <c r="D26" s="19"/>
      <c r="E26" s="51"/>
      <c r="F26" s="51"/>
      <c r="G26" s="51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.25" hidden="1" x14ac:dyDescent="0.3">
      <c r="B27" s="24"/>
      <c r="C27" s="24" t="s">
        <v>40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 x14ac:dyDescent="0.2">
      <c r="B28" s="58" t="s">
        <v>51</v>
      </c>
      <c r="C28" s="58" t="s">
        <v>0</v>
      </c>
      <c r="D28" s="59" t="s">
        <v>19</v>
      </c>
      <c r="E28" s="60" t="s">
        <v>23</v>
      </c>
      <c r="F28" s="60" t="s">
        <v>8</v>
      </c>
      <c r="G28" s="60" t="s">
        <v>9</v>
      </c>
      <c r="H28" s="60" t="s">
        <v>10</v>
      </c>
      <c r="I28" s="60" t="s">
        <v>11</v>
      </c>
      <c r="J28" s="60" t="s">
        <v>12</v>
      </c>
      <c r="K28" s="60" t="s">
        <v>13</v>
      </c>
      <c r="L28" s="60" t="s">
        <v>18</v>
      </c>
      <c r="M28" s="60" t="s">
        <v>75</v>
      </c>
      <c r="N28" s="60" t="s">
        <v>2</v>
      </c>
      <c r="O28" s="60" t="s">
        <v>5</v>
      </c>
      <c r="P28" s="60"/>
      <c r="Q28" s="60"/>
      <c r="R28" s="60"/>
      <c r="S28" s="60"/>
      <c r="T28" s="60"/>
      <c r="V28" s="19"/>
      <c r="W28" s="19"/>
      <c r="X28" s="19"/>
    </row>
    <row r="29" spans="2:40" s="15" customFormat="1" ht="16.5" hidden="1" customHeight="1" x14ac:dyDescent="0.2">
      <c r="B29" s="32">
        <f>B7</f>
        <v>2</v>
      </c>
      <c r="C29" s="32">
        <v>1</v>
      </c>
      <c r="D29" s="61" t="str">
        <f>D7</f>
        <v>Rumput Lapang</v>
      </c>
      <c r="E29" s="62">
        <v>5.6109381354100885</v>
      </c>
      <c r="F29" s="63">
        <f>$E29/100*H7</f>
        <v>11.221876270820177</v>
      </c>
      <c r="G29" s="63">
        <f>$E29/100*I7</f>
        <v>1.3690689050400615</v>
      </c>
      <c r="H29" s="63">
        <f t="shared" ref="H29:O29" si="1">$E29/100*J7</f>
        <v>0.81358602963446292</v>
      </c>
      <c r="I29" s="63">
        <f t="shared" si="1"/>
        <v>0.46009692710362726</v>
      </c>
      <c r="J29" s="63">
        <f t="shared" si="1"/>
        <v>8.0797509149905272E-2</v>
      </c>
      <c r="K29" s="63">
        <f t="shared" si="1"/>
        <v>1.778667388924998</v>
      </c>
      <c r="L29" s="63">
        <f t="shared" si="1"/>
        <v>2.4800346558512594</v>
      </c>
      <c r="M29" s="63">
        <f t="shared" si="1"/>
        <v>3.1533472321004701</v>
      </c>
      <c r="N29" s="63">
        <f t="shared" si="1"/>
        <v>2.0536033575600923E-2</v>
      </c>
      <c r="O29" s="63">
        <f t="shared" si="1"/>
        <v>1.2905157711443205E-2</v>
      </c>
      <c r="P29" s="63"/>
      <c r="Q29" s="63"/>
      <c r="R29" s="63"/>
      <c r="S29" s="63">
        <f>E7</f>
        <v>0</v>
      </c>
      <c r="T29" s="63">
        <f>F7</f>
        <v>50</v>
      </c>
      <c r="V29" s="19"/>
      <c r="W29" s="19"/>
      <c r="X29" s="19"/>
    </row>
    <row r="30" spans="2:40" s="15" customFormat="1" ht="16.5" hidden="1" customHeight="1" x14ac:dyDescent="0.2">
      <c r="B30" s="32">
        <f t="shared" ref="B30:D43" si="2">B8</f>
        <v>1</v>
      </c>
      <c r="C30" s="32">
        <v>2</v>
      </c>
      <c r="D30" s="61" t="str">
        <f t="shared" si="2"/>
        <v>Jerami Padi</v>
      </c>
      <c r="E30" s="62">
        <v>30</v>
      </c>
      <c r="F30" s="63">
        <f t="shared" ref="F30:O43" si="3">$E30/100*H8</f>
        <v>60</v>
      </c>
      <c r="G30" s="63">
        <f t="shared" si="3"/>
        <v>26.25</v>
      </c>
      <c r="H30" s="63">
        <f t="shared" si="3"/>
        <v>5.0699999999999994</v>
      </c>
      <c r="I30" s="63">
        <f t="shared" si="3"/>
        <v>1.2450000000000001</v>
      </c>
      <c r="J30" s="63">
        <f t="shared" si="3"/>
        <v>0.441</v>
      </c>
      <c r="K30" s="63">
        <f t="shared" si="3"/>
        <v>9.75</v>
      </c>
      <c r="L30" s="63">
        <f t="shared" si="3"/>
        <v>13.5</v>
      </c>
      <c r="M30" s="63">
        <f t="shared" si="3"/>
        <v>12.96</v>
      </c>
      <c r="N30" s="63">
        <f t="shared" si="3"/>
        <v>0.12389999999999998</v>
      </c>
      <c r="O30" s="63">
        <f t="shared" si="3"/>
        <v>8.7599999999999997E-2</v>
      </c>
      <c r="P30" s="63"/>
      <c r="Q30" s="63"/>
      <c r="R30" s="63"/>
      <c r="S30" s="63">
        <f t="shared" ref="S30:T43" si="4">E8</f>
        <v>0</v>
      </c>
      <c r="T30" s="63">
        <f t="shared" si="4"/>
        <v>30</v>
      </c>
      <c r="V30" s="19"/>
      <c r="W30" s="19"/>
      <c r="X30" s="19"/>
    </row>
    <row r="31" spans="2:40" s="15" customFormat="1" ht="16.5" hidden="1" customHeight="1" x14ac:dyDescent="0.2">
      <c r="B31" s="32">
        <f t="shared" si="2"/>
        <v>5</v>
      </c>
      <c r="C31" s="32">
        <v>3</v>
      </c>
      <c r="D31" s="61" t="str">
        <f t="shared" si="2"/>
        <v>Daun Singkong</v>
      </c>
      <c r="E31" s="62">
        <v>16.142107090875921</v>
      </c>
      <c r="F31" s="63">
        <f t="shared" si="3"/>
        <v>80.71053545437961</v>
      </c>
      <c r="G31" s="63">
        <f t="shared" si="3"/>
        <v>3.4866951316291992</v>
      </c>
      <c r="H31" s="63">
        <f t="shared" si="3"/>
        <v>1.9531949579959864</v>
      </c>
      <c r="I31" s="63">
        <f t="shared" si="3"/>
        <v>3.8902478089010972</v>
      </c>
      <c r="J31" s="63">
        <f t="shared" si="3"/>
        <v>0.76352166539843114</v>
      </c>
      <c r="K31" s="63">
        <f t="shared" si="3"/>
        <v>3.5674056670835785</v>
      </c>
      <c r="L31" s="63">
        <f t="shared" si="3"/>
        <v>5.9725796236240907</v>
      </c>
      <c r="M31" s="63">
        <f t="shared" si="3"/>
        <v>9.975822182161318</v>
      </c>
      <c r="N31" s="63">
        <f t="shared" si="3"/>
        <v>0.24858844919948919</v>
      </c>
      <c r="O31" s="63">
        <f t="shared" si="3"/>
        <v>7.3769429405302955E-2</v>
      </c>
      <c r="P31" s="63"/>
      <c r="Q31" s="63"/>
      <c r="R31" s="63"/>
      <c r="S31" s="63">
        <f t="shared" si="4"/>
        <v>0</v>
      </c>
      <c r="T31" s="63">
        <f t="shared" si="4"/>
        <v>30</v>
      </c>
      <c r="V31" s="19"/>
      <c r="W31" s="19"/>
      <c r="X31" s="19"/>
    </row>
    <row r="32" spans="2:40" s="15" customFormat="1" ht="16.5" hidden="1" customHeight="1" x14ac:dyDescent="0.2">
      <c r="B32" s="32">
        <f t="shared" si="2"/>
        <v>8</v>
      </c>
      <c r="C32" s="32">
        <v>4</v>
      </c>
      <c r="D32" s="61" t="str">
        <f t="shared" si="2"/>
        <v>Dedak Padi</v>
      </c>
      <c r="E32" s="62">
        <v>27.722740789705274</v>
      </c>
      <c r="F32" s="63">
        <f t="shared" si="3"/>
        <v>499.00933421469495</v>
      </c>
      <c r="G32" s="63">
        <f t="shared" si="3"/>
        <v>24.312843672571528</v>
      </c>
      <c r="H32" s="63">
        <f t="shared" si="3"/>
        <v>3.770292747399917</v>
      </c>
      <c r="I32" s="63">
        <f t="shared" si="3"/>
        <v>3.6039563026616857</v>
      </c>
      <c r="J32" s="63">
        <f t="shared" si="3"/>
        <v>2.3952448042305359</v>
      </c>
      <c r="K32" s="63">
        <f t="shared" si="3"/>
        <v>3.8534609697690332</v>
      </c>
      <c r="L32" s="63">
        <f t="shared" si="3"/>
        <v>14.110875061959984</v>
      </c>
      <c r="M32" s="63">
        <f t="shared" si="3"/>
        <v>18.823740996209882</v>
      </c>
      <c r="N32" s="63">
        <f t="shared" si="3"/>
        <v>2.3730666115987713E-2</v>
      </c>
      <c r="O32" s="63">
        <f t="shared" si="3"/>
        <v>0.38534609697690331</v>
      </c>
      <c r="P32" s="63"/>
      <c r="Q32" s="63"/>
      <c r="R32" s="63"/>
      <c r="S32" s="63">
        <f t="shared" si="4"/>
        <v>0</v>
      </c>
      <c r="T32" s="63">
        <f t="shared" si="4"/>
        <v>40</v>
      </c>
      <c r="V32" s="19"/>
      <c r="W32" s="19"/>
      <c r="X32" s="19"/>
    </row>
    <row r="33" spans="2:24" s="15" customFormat="1" ht="16.5" hidden="1" customHeight="1" x14ac:dyDescent="0.2">
      <c r="B33" s="32">
        <f t="shared" si="2"/>
        <v>18</v>
      </c>
      <c r="C33" s="32">
        <v>5</v>
      </c>
      <c r="D33" s="61" t="str">
        <f t="shared" si="2"/>
        <v>Bungkil Kelapa</v>
      </c>
      <c r="E33" s="62">
        <v>14.087788550861919</v>
      </c>
      <c r="F33" s="63">
        <f t="shared" si="3"/>
        <v>394.4580794241337</v>
      </c>
      <c r="G33" s="63">
        <f t="shared" si="3"/>
        <v>12.481780656063659</v>
      </c>
      <c r="H33" s="63">
        <f t="shared" si="3"/>
        <v>1.1608337765910222</v>
      </c>
      <c r="I33" s="63">
        <f t="shared" si="3"/>
        <v>3.0006989613335886</v>
      </c>
      <c r="J33" s="63">
        <f t="shared" si="3"/>
        <v>1.5355689520439491</v>
      </c>
      <c r="K33" s="63">
        <f t="shared" si="3"/>
        <v>2.0004659742223923</v>
      </c>
      <c r="L33" s="63">
        <f t="shared" si="3"/>
        <v>6.3958560020913104</v>
      </c>
      <c r="M33" s="63">
        <f t="shared" si="3"/>
        <v>11.087089589528331</v>
      </c>
      <c r="N33" s="63">
        <f t="shared" si="3"/>
        <v>2.3244851108922167E-2</v>
      </c>
      <c r="O33" s="63">
        <f t="shared" si="3"/>
        <v>8.6780777473309409E-2</v>
      </c>
      <c r="P33" s="63"/>
      <c r="Q33" s="63"/>
      <c r="R33" s="63"/>
      <c r="S33" s="63">
        <f t="shared" si="4"/>
        <v>0</v>
      </c>
      <c r="T33" s="63">
        <f t="shared" si="4"/>
        <v>30</v>
      </c>
      <c r="V33" s="19"/>
      <c r="W33" s="19"/>
      <c r="X33" s="19"/>
    </row>
    <row r="34" spans="2:24" s="15" customFormat="1" ht="16.5" hidden="1" customHeight="1" x14ac:dyDescent="0.2">
      <c r="B34" s="32">
        <f t="shared" si="2"/>
        <v>14</v>
      </c>
      <c r="C34" s="32">
        <v>6</v>
      </c>
      <c r="D34" s="61" t="str">
        <f t="shared" si="2"/>
        <v>Singkong</v>
      </c>
      <c r="E34" s="62">
        <v>0</v>
      </c>
      <c r="F34" s="63">
        <f t="shared" si="3"/>
        <v>0</v>
      </c>
      <c r="G34" s="63">
        <f t="shared" si="3"/>
        <v>0</v>
      </c>
      <c r="H34" s="63">
        <f t="shared" si="3"/>
        <v>0</v>
      </c>
      <c r="I34" s="63">
        <f t="shared" si="3"/>
        <v>0</v>
      </c>
      <c r="J34" s="63">
        <f t="shared" si="3"/>
        <v>0</v>
      </c>
      <c r="K34" s="63">
        <f t="shared" si="3"/>
        <v>0</v>
      </c>
      <c r="L34" s="63">
        <f t="shared" si="3"/>
        <v>0</v>
      </c>
      <c r="M34" s="63">
        <f t="shared" si="3"/>
        <v>0</v>
      </c>
      <c r="N34" s="63">
        <f t="shared" si="3"/>
        <v>0</v>
      </c>
      <c r="O34" s="63">
        <f t="shared" si="3"/>
        <v>0</v>
      </c>
      <c r="P34" s="63"/>
      <c r="Q34" s="63"/>
      <c r="R34" s="63"/>
      <c r="S34" s="63">
        <f t="shared" si="4"/>
        <v>0</v>
      </c>
      <c r="T34" s="63">
        <f t="shared" si="4"/>
        <v>30</v>
      </c>
      <c r="V34" s="19"/>
      <c r="W34" s="19"/>
      <c r="X34" s="19"/>
    </row>
    <row r="35" spans="2:24" s="15" customFormat="1" ht="16.5" hidden="1" customHeight="1" x14ac:dyDescent="0.2">
      <c r="B35" s="32">
        <f t="shared" si="2"/>
        <v>25</v>
      </c>
      <c r="C35" s="32">
        <v>7</v>
      </c>
      <c r="D35" s="61" t="str">
        <f t="shared" si="2"/>
        <v>Molases</v>
      </c>
      <c r="E35" s="62">
        <v>5</v>
      </c>
      <c r="F35" s="63">
        <f t="shared" si="3"/>
        <v>100</v>
      </c>
      <c r="G35" s="63">
        <f t="shared" si="3"/>
        <v>3.5445000000000002</v>
      </c>
      <c r="H35" s="63">
        <f t="shared" si="3"/>
        <v>0.2</v>
      </c>
      <c r="I35" s="63">
        <f t="shared" si="3"/>
        <v>0.2</v>
      </c>
      <c r="J35" s="63">
        <f t="shared" si="3"/>
        <v>5.000000000000001E-3</v>
      </c>
      <c r="K35" s="63">
        <f t="shared" si="3"/>
        <v>0.05</v>
      </c>
      <c r="L35" s="63">
        <f t="shared" si="3"/>
        <v>4.5450000000000008</v>
      </c>
      <c r="M35" s="63">
        <f t="shared" si="3"/>
        <v>4</v>
      </c>
      <c r="N35" s="63">
        <f t="shared" si="3"/>
        <v>4.0000000000000008E-2</v>
      </c>
      <c r="O35" s="63">
        <f t="shared" si="3"/>
        <v>0</v>
      </c>
      <c r="P35" s="63"/>
      <c r="Q35" s="63"/>
      <c r="R35" s="63"/>
      <c r="S35" s="63">
        <f t="shared" si="4"/>
        <v>5</v>
      </c>
      <c r="T35" s="63">
        <f t="shared" si="4"/>
        <v>7</v>
      </c>
      <c r="V35" s="19"/>
      <c r="W35" s="19"/>
      <c r="X35" s="19"/>
    </row>
    <row r="36" spans="2:24" s="15" customFormat="1" ht="16.5" hidden="1" customHeight="1" x14ac:dyDescent="0.2">
      <c r="B36" s="32">
        <f t="shared" si="2"/>
        <v>26</v>
      </c>
      <c r="C36" s="32">
        <v>8</v>
      </c>
      <c r="D36" s="61" t="str">
        <f t="shared" si="2"/>
        <v>Garam</v>
      </c>
      <c r="E36" s="62">
        <v>1</v>
      </c>
      <c r="F36" s="63">
        <f t="shared" si="3"/>
        <v>15</v>
      </c>
      <c r="G36" s="63">
        <f t="shared" si="3"/>
        <v>0.996</v>
      </c>
      <c r="H36" s="63">
        <f t="shared" si="3"/>
        <v>0</v>
      </c>
      <c r="I36" s="63">
        <f t="shared" si="3"/>
        <v>0</v>
      </c>
      <c r="J36" s="63">
        <f t="shared" si="3"/>
        <v>0</v>
      </c>
      <c r="K36" s="63">
        <f t="shared" si="3"/>
        <v>0</v>
      </c>
      <c r="L36" s="63">
        <f t="shared" si="3"/>
        <v>0</v>
      </c>
      <c r="M36" s="63">
        <f t="shared" si="3"/>
        <v>0</v>
      </c>
      <c r="N36" s="63">
        <f t="shared" si="3"/>
        <v>0</v>
      </c>
      <c r="O36" s="63">
        <f t="shared" si="3"/>
        <v>0</v>
      </c>
      <c r="P36" s="63"/>
      <c r="Q36" s="63"/>
      <c r="R36" s="63"/>
      <c r="S36" s="63">
        <f t="shared" si="4"/>
        <v>0.25</v>
      </c>
      <c r="T36" s="63">
        <f t="shared" si="4"/>
        <v>1</v>
      </c>
      <c r="V36" s="19"/>
      <c r="W36" s="19"/>
      <c r="X36" s="19"/>
    </row>
    <row r="37" spans="2:24" s="15" customFormat="1" ht="16.5" hidden="1" customHeight="1" x14ac:dyDescent="0.2">
      <c r="B37" s="32">
        <f t="shared" si="2"/>
        <v>27</v>
      </c>
      <c r="C37" s="32">
        <v>9</v>
      </c>
      <c r="D37" s="61" t="str">
        <f t="shared" si="2"/>
        <v>Kapur</v>
      </c>
      <c r="E37" s="62">
        <v>0</v>
      </c>
      <c r="F37" s="63">
        <f t="shared" si="3"/>
        <v>0</v>
      </c>
      <c r="G37" s="63">
        <f t="shared" si="3"/>
        <v>0</v>
      </c>
      <c r="H37" s="63">
        <f t="shared" si="3"/>
        <v>0</v>
      </c>
      <c r="I37" s="63">
        <f t="shared" si="3"/>
        <v>0</v>
      </c>
      <c r="J37" s="63">
        <f t="shared" si="3"/>
        <v>0</v>
      </c>
      <c r="K37" s="63">
        <f t="shared" si="3"/>
        <v>0</v>
      </c>
      <c r="L37" s="63">
        <f t="shared" si="3"/>
        <v>0</v>
      </c>
      <c r="M37" s="63">
        <f t="shared" si="3"/>
        <v>0</v>
      </c>
      <c r="N37" s="63">
        <f t="shared" si="3"/>
        <v>0</v>
      </c>
      <c r="O37" s="63">
        <f t="shared" si="3"/>
        <v>0</v>
      </c>
      <c r="P37" s="63"/>
      <c r="Q37" s="63"/>
      <c r="R37" s="63"/>
      <c r="S37" s="63">
        <f t="shared" si="4"/>
        <v>0</v>
      </c>
      <c r="T37" s="63">
        <f t="shared" si="4"/>
        <v>2</v>
      </c>
      <c r="V37" s="19"/>
      <c r="W37" s="19"/>
      <c r="X37" s="19"/>
    </row>
    <row r="38" spans="2:24" s="15" customFormat="1" ht="16.5" hidden="1" customHeight="1" x14ac:dyDescent="0.2">
      <c r="B38" s="32">
        <f t="shared" si="2"/>
        <v>28</v>
      </c>
      <c r="C38" s="32">
        <v>10</v>
      </c>
      <c r="D38" s="61" t="str">
        <f t="shared" si="2"/>
        <v>Kalsium Karbonat</v>
      </c>
      <c r="E38" s="62">
        <v>0</v>
      </c>
      <c r="F38" s="63">
        <f t="shared" si="3"/>
        <v>0</v>
      </c>
      <c r="G38" s="63">
        <f t="shared" si="3"/>
        <v>0</v>
      </c>
      <c r="H38" s="63">
        <f t="shared" si="3"/>
        <v>0</v>
      </c>
      <c r="I38" s="63">
        <f t="shared" si="3"/>
        <v>0</v>
      </c>
      <c r="J38" s="63">
        <f t="shared" si="3"/>
        <v>0</v>
      </c>
      <c r="K38" s="63">
        <f t="shared" si="3"/>
        <v>0</v>
      </c>
      <c r="L38" s="63">
        <f t="shared" si="3"/>
        <v>0</v>
      </c>
      <c r="M38" s="63">
        <f t="shared" si="3"/>
        <v>0</v>
      </c>
      <c r="N38" s="63">
        <f t="shared" si="3"/>
        <v>0</v>
      </c>
      <c r="O38" s="63">
        <f t="shared" si="3"/>
        <v>0</v>
      </c>
      <c r="P38" s="63"/>
      <c r="Q38" s="63"/>
      <c r="R38" s="63"/>
      <c r="S38" s="63">
        <f t="shared" si="4"/>
        <v>0</v>
      </c>
      <c r="T38" s="63">
        <f t="shared" si="4"/>
        <v>2</v>
      </c>
      <c r="V38" s="19"/>
      <c r="W38" s="19"/>
      <c r="X38" s="19"/>
    </row>
    <row r="39" spans="2:24" s="15" customFormat="1" ht="16.5" hidden="1" customHeight="1" x14ac:dyDescent="0.2">
      <c r="B39" s="32">
        <f t="shared" si="2"/>
        <v>31</v>
      </c>
      <c r="C39" s="32">
        <v>11</v>
      </c>
      <c r="D39" s="61" t="str">
        <f t="shared" si="2"/>
        <v>Premix</v>
      </c>
      <c r="E39" s="62">
        <v>0</v>
      </c>
      <c r="F39" s="63">
        <f t="shared" si="3"/>
        <v>0</v>
      </c>
      <c r="G39" s="63">
        <f t="shared" si="3"/>
        <v>0</v>
      </c>
      <c r="H39" s="63">
        <f t="shared" si="3"/>
        <v>0</v>
      </c>
      <c r="I39" s="63">
        <f t="shared" si="3"/>
        <v>0</v>
      </c>
      <c r="J39" s="63">
        <f t="shared" si="3"/>
        <v>0</v>
      </c>
      <c r="K39" s="63">
        <f t="shared" si="3"/>
        <v>0</v>
      </c>
      <c r="L39" s="63">
        <f t="shared" si="3"/>
        <v>0</v>
      </c>
      <c r="M39" s="63">
        <f t="shared" si="3"/>
        <v>0</v>
      </c>
      <c r="N39" s="63">
        <f t="shared" si="3"/>
        <v>0</v>
      </c>
      <c r="O39" s="63">
        <f t="shared" si="3"/>
        <v>0</v>
      </c>
      <c r="P39" s="63"/>
      <c r="Q39" s="63"/>
      <c r="R39" s="63"/>
      <c r="S39" s="63">
        <f t="shared" si="4"/>
        <v>0</v>
      </c>
      <c r="T39" s="63">
        <f t="shared" si="4"/>
        <v>1</v>
      </c>
      <c r="V39" s="19"/>
      <c r="W39" s="19"/>
      <c r="X39" s="19"/>
    </row>
    <row r="40" spans="2:24" s="15" customFormat="1" ht="16.5" hidden="1" customHeight="1" x14ac:dyDescent="0.2">
      <c r="B40" s="32">
        <f t="shared" si="2"/>
        <v>33</v>
      </c>
      <c r="C40" s="32">
        <v>12</v>
      </c>
      <c r="D40" s="61">
        <f t="shared" si="2"/>
        <v>0</v>
      </c>
      <c r="E40" s="62">
        <v>0</v>
      </c>
      <c r="F40" s="63">
        <f t="shared" si="3"/>
        <v>0</v>
      </c>
      <c r="G40" s="63">
        <f t="shared" si="3"/>
        <v>0</v>
      </c>
      <c r="H40" s="63">
        <f t="shared" si="3"/>
        <v>0</v>
      </c>
      <c r="I40" s="63">
        <f t="shared" si="3"/>
        <v>0</v>
      </c>
      <c r="J40" s="63">
        <f t="shared" si="3"/>
        <v>0</v>
      </c>
      <c r="K40" s="63">
        <f t="shared" si="3"/>
        <v>0</v>
      </c>
      <c r="L40" s="63">
        <f t="shared" si="3"/>
        <v>0</v>
      </c>
      <c r="M40" s="63">
        <f t="shared" si="3"/>
        <v>0</v>
      </c>
      <c r="N40" s="63">
        <f t="shared" si="3"/>
        <v>0</v>
      </c>
      <c r="O40" s="63">
        <f t="shared" si="3"/>
        <v>0</v>
      </c>
      <c r="P40" s="63"/>
      <c r="Q40" s="63"/>
      <c r="R40" s="63"/>
      <c r="S40" s="63">
        <f t="shared" si="4"/>
        <v>0</v>
      </c>
      <c r="T40" s="63">
        <f t="shared" si="4"/>
        <v>0</v>
      </c>
      <c r="V40" s="19"/>
      <c r="W40" s="19"/>
      <c r="X40" s="19"/>
    </row>
    <row r="41" spans="2:24" s="15" customFormat="1" ht="16.5" hidden="1" customHeight="1" x14ac:dyDescent="0.2">
      <c r="B41" s="32">
        <f t="shared" si="2"/>
        <v>33</v>
      </c>
      <c r="C41" s="32">
        <v>13</v>
      </c>
      <c r="D41" s="61">
        <f t="shared" si="2"/>
        <v>0</v>
      </c>
      <c r="E41" s="62">
        <v>0</v>
      </c>
      <c r="F41" s="63">
        <f t="shared" si="3"/>
        <v>0</v>
      </c>
      <c r="G41" s="63">
        <f t="shared" si="3"/>
        <v>0</v>
      </c>
      <c r="H41" s="63">
        <f t="shared" si="3"/>
        <v>0</v>
      </c>
      <c r="I41" s="63">
        <f t="shared" si="3"/>
        <v>0</v>
      </c>
      <c r="J41" s="63">
        <f t="shared" si="3"/>
        <v>0</v>
      </c>
      <c r="K41" s="63">
        <f t="shared" si="3"/>
        <v>0</v>
      </c>
      <c r="L41" s="63">
        <f t="shared" si="3"/>
        <v>0</v>
      </c>
      <c r="M41" s="63">
        <f t="shared" si="3"/>
        <v>0</v>
      </c>
      <c r="N41" s="63">
        <f t="shared" si="3"/>
        <v>0</v>
      </c>
      <c r="O41" s="63">
        <f t="shared" si="3"/>
        <v>0</v>
      </c>
      <c r="P41" s="63"/>
      <c r="Q41" s="63"/>
      <c r="R41" s="63"/>
      <c r="S41" s="63">
        <f t="shared" si="4"/>
        <v>0</v>
      </c>
      <c r="T41" s="63">
        <f t="shared" si="4"/>
        <v>0</v>
      </c>
      <c r="V41" s="19"/>
      <c r="W41" s="19"/>
      <c r="X41" s="19"/>
    </row>
    <row r="42" spans="2:24" s="15" customFormat="1" ht="16.5" hidden="1" customHeight="1" x14ac:dyDescent="0.2">
      <c r="B42" s="32">
        <f t="shared" si="2"/>
        <v>33</v>
      </c>
      <c r="C42" s="32">
        <v>14</v>
      </c>
      <c r="D42" s="61">
        <f t="shared" si="2"/>
        <v>0</v>
      </c>
      <c r="E42" s="62">
        <v>0</v>
      </c>
      <c r="F42" s="63">
        <f t="shared" si="3"/>
        <v>0</v>
      </c>
      <c r="G42" s="63">
        <f t="shared" si="3"/>
        <v>0</v>
      </c>
      <c r="H42" s="63">
        <f t="shared" si="3"/>
        <v>0</v>
      </c>
      <c r="I42" s="63">
        <f t="shared" si="3"/>
        <v>0</v>
      </c>
      <c r="J42" s="63">
        <f t="shared" si="3"/>
        <v>0</v>
      </c>
      <c r="K42" s="63">
        <f t="shared" si="3"/>
        <v>0</v>
      </c>
      <c r="L42" s="63">
        <f t="shared" si="3"/>
        <v>0</v>
      </c>
      <c r="M42" s="63">
        <f t="shared" si="3"/>
        <v>0</v>
      </c>
      <c r="N42" s="63">
        <f t="shared" si="3"/>
        <v>0</v>
      </c>
      <c r="O42" s="63">
        <f t="shared" si="3"/>
        <v>0</v>
      </c>
      <c r="P42" s="63"/>
      <c r="Q42" s="63"/>
      <c r="R42" s="63"/>
      <c r="S42" s="63">
        <f t="shared" si="4"/>
        <v>0</v>
      </c>
      <c r="T42" s="63">
        <f t="shared" si="4"/>
        <v>0</v>
      </c>
      <c r="V42" s="19"/>
      <c r="W42" s="19"/>
      <c r="X42" s="19"/>
    </row>
    <row r="43" spans="2:24" s="15" customFormat="1" ht="16.5" hidden="1" customHeight="1" x14ac:dyDescent="0.2">
      <c r="B43" s="32">
        <f t="shared" si="2"/>
        <v>33</v>
      </c>
      <c r="C43" s="32">
        <v>15</v>
      </c>
      <c r="D43" s="61">
        <f t="shared" si="2"/>
        <v>0</v>
      </c>
      <c r="E43" s="62">
        <v>0</v>
      </c>
      <c r="F43" s="63">
        <f t="shared" si="3"/>
        <v>0</v>
      </c>
      <c r="G43" s="63">
        <f t="shared" si="3"/>
        <v>0</v>
      </c>
      <c r="H43" s="63">
        <f t="shared" si="3"/>
        <v>0</v>
      </c>
      <c r="I43" s="63">
        <f t="shared" si="3"/>
        <v>0</v>
      </c>
      <c r="J43" s="63">
        <f t="shared" si="3"/>
        <v>0</v>
      </c>
      <c r="K43" s="63">
        <f t="shared" si="3"/>
        <v>0</v>
      </c>
      <c r="L43" s="63">
        <f t="shared" si="3"/>
        <v>0</v>
      </c>
      <c r="M43" s="63">
        <f t="shared" si="3"/>
        <v>0</v>
      </c>
      <c r="N43" s="63">
        <f t="shared" si="3"/>
        <v>0</v>
      </c>
      <c r="O43" s="63">
        <f t="shared" si="3"/>
        <v>0</v>
      </c>
      <c r="P43" s="63"/>
      <c r="Q43" s="63"/>
      <c r="R43" s="63"/>
      <c r="S43" s="63">
        <f t="shared" si="4"/>
        <v>0</v>
      </c>
      <c r="T43" s="63">
        <f t="shared" si="4"/>
        <v>0</v>
      </c>
      <c r="V43" s="19"/>
      <c r="W43" s="19"/>
      <c r="X43" s="19"/>
    </row>
    <row r="44" spans="2:24" s="15" customFormat="1" ht="16.5" hidden="1" customHeight="1" x14ac:dyDescent="0.2">
      <c r="B44" s="25"/>
      <c r="C44" s="25"/>
      <c r="D44" s="26" t="s">
        <v>24</v>
      </c>
      <c r="E44" s="53">
        <v>100</v>
      </c>
      <c r="F44" s="54"/>
      <c r="G44" s="53">
        <f>X7</f>
        <v>0</v>
      </c>
      <c r="H44" s="53"/>
      <c r="I44" s="53">
        <f>X9</f>
        <v>12.4</v>
      </c>
      <c r="J44" s="53">
        <f>X10</f>
        <v>0</v>
      </c>
      <c r="K44" s="53"/>
      <c r="L44" s="53"/>
      <c r="M44" s="54">
        <f>X13</f>
        <v>55</v>
      </c>
      <c r="N44" s="53">
        <f>X14</f>
        <v>0.48</v>
      </c>
      <c r="O44" s="53">
        <f>X15</f>
        <v>0.37</v>
      </c>
      <c r="P44" s="53"/>
      <c r="Q44" s="55"/>
      <c r="R44" s="55"/>
      <c r="S44" s="3"/>
      <c r="T44" s="52"/>
      <c r="V44" s="19"/>
      <c r="W44" s="19"/>
      <c r="X44" s="19"/>
    </row>
    <row r="45" spans="2:24" s="27" customFormat="1" ht="16.5" hidden="1" customHeight="1" x14ac:dyDescent="0.2">
      <c r="B45" s="39"/>
      <c r="C45" s="39"/>
      <c r="D45" s="65" t="s">
        <v>20</v>
      </c>
      <c r="E45" s="66">
        <f>SUM(E29:E43)</f>
        <v>99.563574566853191</v>
      </c>
      <c r="F45" s="67">
        <f t="shared" ref="F45:O45" si="5">SUM(F29:F43)</f>
        <v>1160.3998253640284</v>
      </c>
      <c r="G45" s="66">
        <f t="shared" si="5"/>
        <v>72.440888365304446</v>
      </c>
      <c r="H45" s="68">
        <f t="shared" si="5"/>
        <v>12.967907511621387</v>
      </c>
      <c r="I45" s="69">
        <f t="shared" si="5"/>
        <v>12.399999999999999</v>
      </c>
      <c r="J45" s="68">
        <f>SUM(J29:J44)</f>
        <v>5.2211329308228214</v>
      </c>
      <c r="K45" s="69">
        <f t="shared" si="5"/>
        <v>21.000000000000004</v>
      </c>
      <c r="L45" s="69">
        <f t="shared" si="5"/>
        <v>47.004345343526637</v>
      </c>
      <c r="M45" s="70">
        <f t="shared" si="5"/>
        <v>60</v>
      </c>
      <c r="N45" s="66">
        <f t="shared" si="5"/>
        <v>0.48</v>
      </c>
      <c r="O45" s="66">
        <f t="shared" si="5"/>
        <v>0.64640146156695888</v>
      </c>
      <c r="P45" s="66"/>
      <c r="Q45" s="71"/>
      <c r="R45" s="71"/>
      <c r="S45" s="60"/>
      <c r="T45" s="72"/>
      <c r="V45" s="19"/>
      <c r="W45" s="19"/>
      <c r="X45" s="19"/>
    </row>
    <row r="46" spans="2:24" s="27" customFormat="1" ht="16.5" hidden="1" customHeight="1" x14ac:dyDescent="0.2">
      <c r="B46" s="25"/>
      <c r="C46" s="25"/>
      <c r="D46" s="26" t="s">
        <v>25</v>
      </c>
      <c r="E46" s="56"/>
      <c r="F46" s="54"/>
      <c r="G46" s="54"/>
      <c r="H46" s="53"/>
      <c r="I46" s="53">
        <f>Y9</f>
        <v>13</v>
      </c>
      <c r="J46" s="53">
        <f>Y10</f>
        <v>6</v>
      </c>
      <c r="K46" s="53">
        <f>Y11</f>
        <v>21</v>
      </c>
      <c r="L46" s="53"/>
      <c r="M46" s="54">
        <f>Y13</f>
        <v>60</v>
      </c>
      <c r="N46" s="53">
        <f>Y14</f>
        <v>0.6</v>
      </c>
      <c r="O46" s="54">
        <f>Y15</f>
        <v>0</v>
      </c>
      <c r="P46" s="53"/>
      <c r="Q46" s="55"/>
      <c r="R46" s="55"/>
      <c r="S46" s="3"/>
      <c r="T46" s="52"/>
    </row>
    <row r="47" spans="2:24" s="15" customFormat="1" hidden="1" x14ac:dyDescent="0.2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 x14ac:dyDescent="0.2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 x14ac:dyDescent="0.2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hidden="1" customHeight="1" x14ac:dyDescent="0.2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 x14ac:dyDescent="0.2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 x14ac:dyDescent="0.2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 x14ac:dyDescent="0.2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 x14ac:dyDescent="0.2">
      <c r="V54" s="15"/>
    </row>
    <row r="55" spans="5:22" ht="15" customHeight="1" x14ac:dyDescent="0.2">
      <c r="V55" s="15"/>
    </row>
    <row r="56" spans="5:22" ht="15" customHeight="1" x14ac:dyDescent="0.2">
      <c r="V56" s="15"/>
    </row>
    <row r="57" spans="5:22" ht="15" customHeight="1" x14ac:dyDescent="0.2">
      <c r="V57" s="15"/>
    </row>
    <row r="58" spans="5:22" ht="15" customHeight="1" x14ac:dyDescent="0.2">
      <c r="V58" s="15"/>
    </row>
    <row r="59" spans="5:22" ht="15" customHeight="1" x14ac:dyDescent="0.2">
      <c r="V59" s="15"/>
    </row>
    <row r="60" spans="5:22" ht="15" customHeight="1" x14ac:dyDescent="0.2"/>
    <row r="61" spans="5:22" ht="15" customHeight="1" x14ac:dyDescent="0.2"/>
    <row r="62" spans="5:22" ht="15" customHeight="1" x14ac:dyDescent="0.2"/>
    <row r="63" spans="5:22" ht="15" customHeight="1" x14ac:dyDescent="0.2"/>
    <row r="64" spans="5:22" ht="15" customHeight="1" x14ac:dyDescent="0.2"/>
    <row r="65" spans="2:16" ht="15" customHeight="1" x14ac:dyDescent="0.2"/>
    <row r="66" spans="2:16" ht="15" customHeight="1" x14ac:dyDescent="0.2"/>
    <row r="68" spans="2:16" x14ac:dyDescent="0.2">
      <c r="B68" s="23"/>
      <c r="C68" s="23"/>
      <c r="D68" s="19"/>
      <c r="E68" s="18"/>
      <c r="F68" s="51"/>
      <c r="G68" s="51"/>
      <c r="H68" s="18"/>
      <c r="I68" s="18"/>
      <c r="J68" s="18"/>
      <c r="K68" s="18"/>
      <c r="L68" s="18"/>
      <c r="M68" s="16"/>
      <c r="N68" s="16"/>
      <c r="O68" s="16"/>
      <c r="P68" s="16"/>
    </row>
    <row r="69" spans="2:16" x14ac:dyDescent="0.2">
      <c r="B69" s="23"/>
      <c r="C69" s="23"/>
      <c r="D69" s="19"/>
      <c r="E69" s="18"/>
      <c r="F69" s="51"/>
      <c r="G69" s="51"/>
      <c r="H69" s="18"/>
      <c r="I69" s="18"/>
      <c r="J69" s="18"/>
      <c r="K69" s="18"/>
      <c r="L69" s="20"/>
      <c r="M69" s="16"/>
      <c r="N69" s="16"/>
      <c r="O69" s="16"/>
      <c r="P69" s="16"/>
    </row>
    <row r="70" spans="2:16" x14ac:dyDescent="0.2">
      <c r="B70" s="23"/>
      <c r="C70" s="23"/>
      <c r="D70" s="19"/>
      <c r="E70" s="18"/>
      <c r="F70" s="51"/>
      <c r="G70" s="51"/>
      <c r="H70" s="18"/>
      <c r="I70" s="18"/>
      <c r="J70" s="18"/>
      <c r="K70" s="18"/>
      <c r="L70" s="20"/>
      <c r="M70" s="16"/>
      <c r="N70" s="16"/>
      <c r="O70" s="16"/>
      <c r="P70" s="16"/>
    </row>
    <row r="71" spans="2:16" x14ac:dyDescent="0.2">
      <c r="L71" s="16"/>
      <c r="M71" s="16"/>
      <c r="N71" s="16"/>
      <c r="O71" s="16"/>
      <c r="P71" s="16"/>
    </row>
    <row r="72" spans="2:16" x14ac:dyDescent="0.2">
      <c r="L72" s="16"/>
      <c r="M72" s="16"/>
      <c r="N72" s="16"/>
      <c r="O72" s="16"/>
      <c r="P72" s="16"/>
    </row>
    <row r="73" spans="2:16" x14ac:dyDescent="0.2">
      <c r="L73" s="16"/>
      <c r="M73" s="16"/>
      <c r="N73" s="16"/>
      <c r="O73" s="16"/>
      <c r="P73" s="16"/>
    </row>
    <row r="74" spans="2:16" x14ac:dyDescent="0.2">
      <c r="L74" s="16"/>
      <c r="M74" s="16"/>
      <c r="N74" s="16"/>
      <c r="O74" s="16"/>
      <c r="P74" s="16"/>
    </row>
    <row r="75" spans="2:16" x14ac:dyDescent="0.2">
      <c r="L75" s="16"/>
      <c r="M75" s="16"/>
      <c r="N75" s="16"/>
      <c r="O75" s="16"/>
      <c r="P75" s="16"/>
    </row>
    <row r="76" spans="2:16" x14ac:dyDescent="0.2">
      <c r="L76" s="16"/>
      <c r="M76" s="16"/>
      <c r="N76" s="16"/>
      <c r="O76" s="16"/>
      <c r="P76" s="16"/>
    </row>
    <row r="77" spans="2:16" x14ac:dyDescent="0.2">
      <c r="L77" s="16"/>
      <c r="M77" s="16"/>
      <c r="N77" s="16"/>
      <c r="O77" s="16"/>
      <c r="P77" s="16"/>
    </row>
    <row r="78" spans="2:16" x14ac:dyDescent="0.2">
      <c r="L78" s="16"/>
      <c r="M78" s="16"/>
      <c r="N78" s="16"/>
      <c r="O78" s="16"/>
      <c r="P78" s="16"/>
    </row>
    <row r="79" spans="2:16" x14ac:dyDescent="0.2">
      <c r="L79" s="16"/>
      <c r="M79" s="16"/>
      <c r="N79" s="16"/>
      <c r="O79" s="16"/>
      <c r="P79" s="16"/>
    </row>
    <row r="80" spans="2:16" x14ac:dyDescent="0.2">
      <c r="L80" s="16"/>
      <c r="M80" s="16"/>
      <c r="N80" s="16"/>
      <c r="O80" s="16"/>
      <c r="P80" s="16"/>
    </row>
    <row r="81" spans="12:16" x14ac:dyDescent="0.2">
      <c r="L81" s="16"/>
      <c r="M81" s="16"/>
      <c r="N81" s="16"/>
      <c r="O81" s="16"/>
      <c r="P81" s="16"/>
    </row>
    <row r="82" spans="12:16" x14ac:dyDescent="0.2">
      <c r="L82" s="16"/>
      <c r="M82" s="16"/>
      <c r="N82" s="16"/>
      <c r="O82" s="16"/>
      <c r="P82" s="16"/>
    </row>
    <row r="83" spans="12:16" x14ac:dyDescent="0.2">
      <c r="L83" s="16"/>
      <c r="M83" s="16"/>
      <c r="N83" s="16"/>
      <c r="O83" s="16"/>
      <c r="P83" s="16"/>
    </row>
    <row r="84" spans="12:16" x14ac:dyDescent="0.2">
      <c r="L84" s="16"/>
      <c r="M84" s="16"/>
      <c r="N84" s="16"/>
      <c r="O84" s="16"/>
      <c r="P84" s="16"/>
    </row>
    <row r="85" spans="12:16" x14ac:dyDescent="0.2">
      <c r="L85" s="16"/>
      <c r="M85" s="16"/>
      <c r="N85" s="16"/>
      <c r="O85" s="16"/>
      <c r="P85" s="16"/>
    </row>
    <row r="86" spans="12:16" x14ac:dyDescent="0.2">
      <c r="L86" s="16"/>
      <c r="M86" s="16"/>
      <c r="N86" s="16"/>
      <c r="O86" s="16"/>
      <c r="P86" s="16"/>
    </row>
    <row r="87" spans="12:16" x14ac:dyDescent="0.2">
      <c r="L87" s="16"/>
      <c r="M87" s="16"/>
      <c r="N87" s="16"/>
      <c r="O87" s="16"/>
      <c r="P87" s="16"/>
    </row>
    <row r="88" spans="12:16" x14ac:dyDescent="0.2">
      <c r="L88" s="16"/>
      <c r="M88" s="16"/>
      <c r="N88" s="16"/>
      <c r="O88" s="16"/>
      <c r="P88" s="16"/>
    </row>
    <row r="89" spans="12:16" x14ac:dyDescent="0.2">
      <c r="L89" s="16"/>
      <c r="M89" s="16"/>
      <c r="N89" s="16"/>
      <c r="O89" s="16"/>
      <c r="P89" s="16"/>
    </row>
    <row r="90" spans="12:16" x14ac:dyDescent="0.2">
      <c r="L90" s="16"/>
      <c r="M90" s="16"/>
      <c r="N90" s="16"/>
      <c r="O90" s="16"/>
      <c r="P90" s="16"/>
    </row>
    <row r="91" spans="12:16" x14ac:dyDescent="0.2">
      <c r="L91" s="16"/>
      <c r="M91" s="16"/>
      <c r="N91" s="16"/>
      <c r="O91" s="16"/>
      <c r="P91" s="16"/>
    </row>
    <row r="92" spans="12:16" x14ac:dyDescent="0.2">
      <c r="L92" s="16"/>
      <c r="M92" s="16"/>
      <c r="N92" s="16"/>
      <c r="O92" s="16"/>
      <c r="P92" s="16"/>
    </row>
    <row r="93" spans="12:16" x14ac:dyDescent="0.2">
      <c r="L93" s="16"/>
      <c r="M93" s="16"/>
      <c r="N93" s="16"/>
      <c r="O93" s="16"/>
      <c r="P93" s="16"/>
    </row>
    <row r="94" spans="12:16" x14ac:dyDescent="0.2">
      <c r="L94" s="16"/>
      <c r="M94" s="16"/>
      <c r="N94" s="16"/>
      <c r="O94" s="16"/>
      <c r="P94" s="16"/>
    </row>
    <row r="95" spans="12:16" x14ac:dyDescent="0.2">
      <c r="L95" s="16"/>
      <c r="M95" s="16"/>
      <c r="N95" s="16"/>
      <c r="O95" s="16"/>
      <c r="P95" s="16"/>
    </row>
    <row r="96" spans="12:16" x14ac:dyDescent="0.2">
      <c r="L96" s="16"/>
      <c r="M96" s="16"/>
      <c r="N96" s="16"/>
      <c r="O96" s="16"/>
      <c r="P96" s="16"/>
    </row>
    <row r="97" spans="12:16" x14ac:dyDescent="0.2">
      <c r="L97" s="16"/>
      <c r="M97" s="16"/>
      <c r="N97" s="16"/>
      <c r="O97" s="16"/>
      <c r="P97" s="16"/>
    </row>
    <row r="98" spans="12:16" x14ac:dyDescent="0.2">
      <c r="L98" s="16"/>
      <c r="M98" s="16"/>
      <c r="N98" s="16"/>
      <c r="O98" s="16"/>
      <c r="P98" s="16"/>
    </row>
    <row r="99" spans="12:16" x14ac:dyDescent="0.2">
      <c r="L99" s="16"/>
      <c r="M99" s="16"/>
      <c r="N99" s="16"/>
      <c r="O99" s="16"/>
      <c r="P99" s="16"/>
    </row>
    <row r="100" spans="12:16" x14ac:dyDescent="0.2">
      <c r="L100" s="16"/>
      <c r="M100" s="16"/>
      <c r="N100" s="16"/>
      <c r="O100" s="16"/>
      <c r="P100" s="16"/>
    </row>
    <row r="101" spans="12:16" x14ac:dyDescent="0.2">
      <c r="L101" s="16"/>
      <c r="M101" s="16"/>
      <c r="N101" s="16"/>
      <c r="O101" s="16"/>
      <c r="P101" s="16"/>
    </row>
    <row r="102" spans="12:16" x14ac:dyDescent="0.2">
      <c r="L102" s="16"/>
      <c r="M102" s="16"/>
      <c r="N102" s="16"/>
      <c r="O102" s="16"/>
      <c r="P102" s="16"/>
    </row>
    <row r="103" spans="12:16" x14ac:dyDescent="0.2">
      <c r="L103" s="16"/>
      <c r="M103" s="16"/>
      <c r="N103" s="16"/>
      <c r="O103" s="16"/>
      <c r="P103" s="16"/>
    </row>
    <row r="104" spans="12:16" x14ac:dyDescent="0.2">
      <c r="L104" s="16"/>
      <c r="M104" s="16"/>
      <c r="N104" s="16"/>
      <c r="O104" s="16"/>
      <c r="P104" s="16"/>
    </row>
    <row r="105" spans="12:16" x14ac:dyDescent="0.2">
      <c r="L105" s="16"/>
      <c r="M105" s="16"/>
      <c r="N105" s="16"/>
      <c r="O105" s="16"/>
      <c r="P105" s="16"/>
    </row>
    <row r="106" spans="12:16" x14ac:dyDescent="0.2">
      <c r="L106" s="16"/>
      <c r="M106" s="16"/>
      <c r="N106" s="16"/>
      <c r="O106" s="16"/>
      <c r="P106" s="16"/>
    </row>
    <row r="107" spans="12:16" x14ac:dyDescent="0.2">
      <c r="L107" s="16"/>
      <c r="M107" s="16"/>
      <c r="N107" s="16"/>
      <c r="O107" s="16"/>
      <c r="P107" s="16"/>
    </row>
    <row r="108" spans="12:16" x14ac:dyDescent="0.2">
      <c r="L108" s="16"/>
      <c r="M108" s="16"/>
      <c r="N108" s="16"/>
      <c r="O108" s="16"/>
      <c r="P108" s="16"/>
    </row>
    <row r="109" spans="12:16" x14ac:dyDescent="0.2">
      <c r="L109" s="16"/>
      <c r="M109" s="16"/>
      <c r="N109" s="16"/>
      <c r="O109" s="16"/>
      <c r="P109" s="16"/>
    </row>
    <row r="110" spans="12:16" x14ac:dyDescent="0.2">
      <c r="L110" s="16"/>
      <c r="M110" s="16"/>
      <c r="N110" s="16"/>
      <c r="O110" s="16"/>
      <c r="P110" s="16"/>
    </row>
    <row r="111" spans="12:16" x14ac:dyDescent="0.2">
      <c r="L111" s="16"/>
      <c r="M111" s="16"/>
      <c r="N111" s="16"/>
      <c r="O111" s="16"/>
      <c r="P111" s="16"/>
    </row>
    <row r="112" spans="12:16" x14ac:dyDescent="0.2">
      <c r="L112" s="16"/>
      <c r="M112" s="16"/>
      <c r="N112" s="16"/>
      <c r="O112" s="16"/>
      <c r="P112" s="16"/>
    </row>
    <row r="113" spans="12:16" x14ac:dyDescent="0.2">
      <c r="L113" s="16"/>
      <c r="M113" s="16"/>
      <c r="N113" s="16"/>
      <c r="O113" s="16"/>
      <c r="P113" s="16"/>
    </row>
    <row r="114" spans="12:16" x14ac:dyDescent="0.2">
      <c r="L114" s="16"/>
      <c r="M114" s="16"/>
      <c r="N114" s="16"/>
      <c r="O114" s="16"/>
      <c r="P114" s="16"/>
    </row>
    <row r="115" spans="12:16" x14ac:dyDescent="0.2">
      <c r="L115" s="16"/>
      <c r="M115" s="16"/>
      <c r="N115" s="16"/>
      <c r="O115" s="16"/>
      <c r="P115" s="16"/>
    </row>
    <row r="116" spans="12:16" x14ac:dyDescent="0.2">
      <c r="L116" s="16"/>
      <c r="M116" s="16"/>
      <c r="N116" s="16"/>
      <c r="O116" s="16"/>
      <c r="P116" s="16"/>
    </row>
    <row r="117" spans="12:16" x14ac:dyDescent="0.2">
      <c r="L117" s="16"/>
      <c r="M117" s="16"/>
      <c r="N117" s="16"/>
      <c r="O117" s="16"/>
      <c r="P117" s="16"/>
    </row>
    <row r="118" spans="12:16" x14ac:dyDescent="0.2">
      <c r="L118" s="16"/>
      <c r="M118" s="16"/>
      <c r="N118" s="16"/>
      <c r="O118" s="16"/>
      <c r="P118" s="16"/>
    </row>
    <row r="119" spans="12:16" x14ac:dyDescent="0.2">
      <c r="L119" s="16"/>
      <c r="M119" s="16"/>
      <c r="N119" s="16"/>
      <c r="O119" s="16"/>
      <c r="P119" s="16"/>
    </row>
    <row r="120" spans="12:16" x14ac:dyDescent="0.2">
      <c r="L120" s="16"/>
      <c r="M120" s="16"/>
      <c r="N120" s="16"/>
      <c r="O120" s="16"/>
      <c r="P120" s="16"/>
    </row>
    <row r="121" spans="12:16" x14ac:dyDescent="0.2">
      <c r="L121" s="16"/>
      <c r="M121" s="16"/>
      <c r="N121" s="16"/>
      <c r="O121" s="16"/>
      <c r="P121" s="16"/>
    </row>
    <row r="122" spans="12:16" x14ac:dyDescent="0.2">
      <c r="L122" s="16"/>
      <c r="M122" s="16"/>
      <c r="N122" s="16"/>
      <c r="O122" s="16"/>
      <c r="P122" s="16"/>
    </row>
    <row r="123" spans="12:16" x14ac:dyDescent="0.2">
      <c r="L123" s="16"/>
      <c r="M123" s="16"/>
      <c r="N123" s="16"/>
      <c r="O123" s="16"/>
      <c r="P123" s="16"/>
    </row>
    <row r="124" spans="12:16" x14ac:dyDescent="0.2">
      <c r="L124" s="16"/>
      <c r="M124" s="16"/>
      <c r="N124" s="16"/>
      <c r="O124" s="16"/>
      <c r="P124" s="16"/>
    </row>
    <row r="125" spans="12:16" x14ac:dyDescent="0.2">
      <c r="L125" s="16"/>
      <c r="M125" s="16"/>
      <c r="N125" s="16"/>
      <c r="O125" s="16"/>
      <c r="P125" s="16"/>
    </row>
    <row r="126" spans="12:16" x14ac:dyDescent="0.2">
      <c r="L126" s="16"/>
      <c r="M126" s="16"/>
      <c r="N126" s="16"/>
      <c r="O126" s="16"/>
      <c r="P126" s="16"/>
    </row>
    <row r="127" spans="12:16" x14ac:dyDescent="0.2">
      <c r="L127" s="16"/>
      <c r="M127" s="16"/>
      <c r="N127" s="16"/>
      <c r="O127" s="16"/>
      <c r="P127" s="16"/>
    </row>
    <row r="128" spans="12:16" x14ac:dyDescent="0.2">
      <c r="L128" s="16"/>
      <c r="M128" s="16"/>
      <c r="N128" s="16"/>
      <c r="O128" s="16"/>
      <c r="P128" s="16"/>
    </row>
    <row r="129" spans="12:16" x14ac:dyDescent="0.2">
      <c r="L129" s="16"/>
      <c r="M129" s="16"/>
      <c r="N129" s="16"/>
      <c r="O129" s="16"/>
      <c r="P129" s="16"/>
    </row>
    <row r="130" spans="12:16" x14ac:dyDescent="0.2">
      <c r="L130" s="16"/>
      <c r="M130" s="16"/>
      <c r="N130" s="16"/>
      <c r="O130" s="16"/>
      <c r="P130" s="16"/>
    </row>
    <row r="131" spans="12:16" x14ac:dyDescent="0.2">
      <c r="L131" s="16"/>
      <c r="M131" s="16"/>
      <c r="N131" s="16"/>
      <c r="O131" s="16"/>
      <c r="P131" s="16"/>
    </row>
    <row r="132" spans="12:16" x14ac:dyDescent="0.2">
      <c r="L132" s="16"/>
      <c r="M132" s="16"/>
      <c r="N132" s="16"/>
      <c r="O132" s="16"/>
      <c r="P132" s="16"/>
    </row>
    <row r="133" spans="12:16" x14ac:dyDescent="0.2">
      <c r="L133" s="16"/>
      <c r="M133" s="16"/>
      <c r="N133" s="16"/>
      <c r="O133" s="16"/>
      <c r="P133" s="16"/>
    </row>
    <row r="134" spans="12:16" x14ac:dyDescent="0.2">
      <c r="L134" s="16"/>
      <c r="M134" s="16"/>
      <c r="N134" s="16"/>
      <c r="O134" s="16"/>
      <c r="P134" s="16"/>
    </row>
    <row r="135" spans="12:16" x14ac:dyDescent="0.2">
      <c r="L135" s="16"/>
      <c r="M135" s="16"/>
      <c r="N135" s="16"/>
      <c r="O135" s="16"/>
      <c r="P135" s="16"/>
    </row>
    <row r="136" spans="12:16" x14ac:dyDescent="0.2">
      <c r="L136" s="16"/>
      <c r="M136" s="16"/>
      <c r="N136" s="16"/>
      <c r="O136" s="16"/>
      <c r="P136" s="16"/>
    </row>
    <row r="137" spans="12:16" x14ac:dyDescent="0.2">
      <c r="L137" s="16"/>
      <c r="M137" s="16"/>
      <c r="N137" s="16"/>
      <c r="O137" s="16"/>
      <c r="P137" s="16"/>
    </row>
    <row r="138" spans="12:16" x14ac:dyDescent="0.2">
      <c r="L138" s="16"/>
      <c r="M138" s="16"/>
      <c r="N138" s="16"/>
      <c r="O138" s="16"/>
      <c r="P138" s="16"/>
    </row>
    <row r="139" spans="12:16" x14ac:dyDescent="0.2">
      <c r="L139" s="16"/>
      <c r="M139" s="16"/>
      <c r="N139" s="16"/>
      <c r="O139" s="16"/>
      <c r="P139" s="16"/>
    </row>
    <row r="140" spans="12:16" x14ac:dyDescent="0.2">
      <c r="L140" s="16"/>
      <c r="M140" s="16"/>
      <c r="N140" s="16"/>
      <c r="O140" s="16"/>
      <c r="P140" s="16"/>
    </row>
    <row r="141" spans="12:16" x14ac:dyDescent="0.2">
      <c r="L141" s="16"/>
      <c r="M141" s="16"/>
      <c r="N141" s="16"/>
      <c r="O141" s="16"/>
      <c r="P141" s="16"/>
    </row>
    <row r="142" spans="12:16" x14ac:dyDescent="0.2">
      <c r="L142" s="16"/>
      <c r="M142" s="16"/>
      <c r="N142" s="16"/>
      <c r="O142" s="16"/>
      <c r="P142" s="16"/>
    </row>
    <row r="143" spans="12:16" x14ac:dyDescent="0.2">
      <c r="L143" s="16"/>
      <c r="M143" s="16"/>
      <c r="N143" s="16"/>
      <c r="O143" s="16"/>
      <c r="P143" s="16"/>
    </row>
    <row r="144" spans="12:16" x14ac:dyDescent="0.2">
      <c r="L144" s="16"/>
      <c r="M144" s="16"/>
      <c r="N144" s="16"/>
      <c r="O144" s="16"/>
      <c r="P144" s="16"/>
    </row>
    <row r="145" spans="12:16" x14ac:dyDescent="0.2">
      <c r="L145" s="16"/>
      <c r="M145" s="16"/>
      <c r="N145" s="16"/>
      <c r="O145" s="16"/>
      <c r="P145" s="16"/>
    </row>
    <row r="146" spans="12:16" x14ac:dyDescent="0.2">
      <c r="L146" s="16"/>
      <c r="M146" s="16"/>
      <c r="N146" s="16"/>
      <c r="O146" s="16"/>
      <c r="P146" s="16"/>
    </row>
    <row r="147" spans="12:16" x14ac:dyDescent="0.2">
      <c r="L147" s="16"/>
      <c r="M147" s="16"/>
      <c r="N147" s="16"/>
      <c r="O147" s="16"/>
      <c r="P147" s="16"/>
    </row>
    <row r="148" spans="12:16" x14ac:dyDescent="0.2">
      <c r="L148" s="16"/>
      <c r="M148" s="16"/>
      <c r="N148" s="16"/>
      <c r="O148" s="16"/>
      <c r="P148" s="16"/>
    </row>
    <row r="149" spans="12:16" x14ac:dyDescent="0.2">
      <c r="L149" s="16"/>
      <c r="M149" s="16"/>
      <c r="N149" s="16"/>
      <c r="O149" s="16"/>
      <c r="P149" s="16"/>
    </row>
    <row r="150" spans="12:16" x14ac:dyDescent="0.2">
      <c r="L150" s="16"/>
      <c r="M150" s="16"/>
      <c r="N150" s="16"/>
      <c r="O150" s="16"/>
      <c r="P150" s="16"/>
    </row>
    <row r="151" spans="12:16" x14ac:dyDescent="0.2">
      <c r="L151" s="16"/>
      <c r="M151" s="16"/>
      <c r="N151" s="16"/>
      <c r="O151" s="16"/>
      <c r="P151" s="16"/>
    </row>
    <row r="152" spans="12:16" x14ac:dyDescent="0.2">
      <c r="L152" s="16"/>
      <c r="M152" s="16"/>
      <c r="N152" s="16"/>
      <c r="O152" s="16"/>
      <c r="P152" s="16"/>
    </row>
    <row r="153" spans="12:16" x14ac:dyDescent="0.2">
      <c r="L153" s="16"/>
      <c r="M153" s="16"/>
      <c r="N153" s="16"/>
      <c r="O153" s="16"/>
      <c r="P153" s="16"/>
    </row>
    <row r="154" spans="12:16" x14ac:dyDescent="0.2">
      <c r="L154" s="16"/>
      <c r="M154" s="16"/>
      <c r="N154" s="16"/>
      <c r="O154" s="16"/>
      <c r="P154" s="16"/>
    </row>
    <row r="155" spans="12:16" x14ac:dyDescent="0.2">
      <c r="L155" s="16"/>
      <c r="M155" s="16"/>
      <c r="N155" s="16"/>
      <c r="O155" s="16"/>
      <c r="P155" s="16"/>
    </row>
    <row r="156" spans="12:16" x14ac:dyDescent="0.2">
      <c r="L156" s="16"/>
      <c r="M156" s="16"/>
      <c r="N156" s="16"/>
      <c r="O156" s="16"/>
      <c r="P156" s="16"/>
    </row>
    <row r="157" spans="12:16" x14ac:dyDescent="0.2">
      <c r="L157" s="16"/>
      <c r="M157" s="16"/>
      <c r="N157" s="16"/>
      <c r="O157" s="16"/>
      <c r="P157" s="16"/>
    </row>
    <row r="158" spans="12:16" x14ac:dyDescent="0.2">
      <c r="L158" s="16"/>
      <c r="M158" s="16"/>
      <c r="N158" s="16"/>
      <c r="O158" s="16"/>
      <c r="P158" s="16"/>
    </row>
    <row r="159" spans="12:16" x14ac:dyDescent="0.2">
      <c r="L159" s="16"/>
      <c r="M159" s="16"/>
      <c r="N159" s="16"/>
      <c r="O159" s="16"/>
      <c r="P159" s="16"/>
    </row>
    <row r="160" spans="12:16" x14ac:dyDescent="0.2">
      <c r="L160" s="16"/>
      <c r="M160" s="16"/>
      <c r="N160" s="16"/>
      <c r="O160" s="16"/>
      <c r="P160" s="16"/>
    </row>
    <row r="161" spans="12:16" x14ac:dyDescent="0.2">
      <c r="L161" s="16"/>
      <c r="M161" s="16"/>
      <c r="N161" s="16"/>
      <c r="O161" s="16"/>
      <c r="P161" s="16"/>
    </row>
    <row r="162" spans="12:16" x14ac:dyDescent="0.2">
      <c r="L162" s="16"/>
      <c r="M162" s="16"/>
      <c r="N162" s="16"/>
      <c r="O162" s="16"/>
      <c r="P162" s="16"/>
    </row>
    <row r="163" spans="12:16" x14ac:dyDescent="0.2">
      <c r="L163" s="16"/>
      <c r="M163" s="16"/>
      <c r="N163" s="16"/>
      <c r="O163" s="16"/>
      <c r="P163" s="16"/>
    </row>
    <row r="164" spans="12:16" x14ac:dyDescent="0.2">
      <c r="L164" s="16"/>
      <c r="M164" s="16"/>
      <c r="N164" s="16"/>
      <c r="O164" s="16"/>
      <c r="P164" s="16"/>
    </row>
    <row r="165" spans="12:16" x14ac:dyDescent="0.2">
      <c r="L165" s="16"/>
      <c r="M165" s="16"/>
      <c r="N165" s="16"/>
      <c r="O165" s="16"/>
      <c r="P165" s="16"/>
    </row>
    <row r="166" spans="12:16" x14ac:dyDescent="0.2">
      <c r="L166" s="16"/>
      <c r="M166" s="16"/>
      <c r="N166" s="16"/>
      <c r="O166" s="16"/>
      <c r="P166" s="16"/>
    </row>
    <row r="167" spans="12:16" x14ac:dyDescent="0.2">
      <c r="L167" s="16"/>
      <c r="M167" s="16"/>
      <c r="N167" s="16"/>
      <c r="O167" s="16"/>
      <c r="P167" s="16"/>
    </row>
    <row r="168" spans="12:16" x14ac:dyDescent="0.2">
      <c r="L168" s="16"/>
      <c r="M168" s="16"/>
      <c r="N168" s="16"/>
      <c r="O168" s="16"/>
      <c r="P168" s="16"/>
    </row>
    <row r="169" spans="12:16" x14ac:dyDescent="0.2">
      <c r="L169" s="16"/>
      <c r="M169" s="16"/>
      <c r="N169" s="16"/>
      <c r="O169" s="16"/>
      <c r="P169" s="16"/>
    </row>
    <row r="170" spans="12:16" x14ac:dyDescent="0.2">
      <c r="L170" s="16"/>
      <c r="M170" s="16"/>
      <c r="N170" s="16"/>
      <c r="O170" s="16"/>
      <c r="P170" s="16"/>
    </row>
    <row r="171" spans="12:16" x14ac:dyDescent="0.2">
      <c r="L171" s="16"/>
      <c r="M171" s="16"/>
      <c r="N171" s="16"/>
      <c r="O171" s="16"/>
      <c r="P171" s="16"/>
    </row>
    <row r="172" spans="12:16" x14ac:dyDescent="0.2">
      <c r="L172" s="16"/>
      <c r="M172" s="16"/>
      <c r="N172" s="16"/>
      <c r="O172" s="16"/>
      <c r="P172" s="16"/>
    </row>
    <row r="173" spans="12:16" x14ac:dyDescent="0.2">
      <c r="L173" s="16"/>
      <c r="M173" s="16"/>
      <c r="N173" s="16"/>
      <c r="O173" s="16"/>
      <c r="P173" s="16"/>
    </row>
    <row r="174" spans="12:16" x14ac:dyDescent="0.2">
      <c r="L174" s="16"/>
      <c r="M174" s="16"/>
      <c r="N174" s="16"/>
      <c r="O174" s="16"/>
      <c r="P174" s="16"/>
    </row>
    <row r="175" spans="12:16" x14ac:dyDescent="0.2">
      <c r="L175" s="16"/>
      <c r="M175" s="16"/>
      <c r="N175" s="16"/>
      <c r="O175" s="16"/>
      <c r="P175" s="16"/>
    </row>
    <row r="176" spans="12:16" x14ac:dyDescent="0.2">
      <c r="L176" s="16"/>
      <c r="M176" s="16"/>
      <c r="N176" s="16"/>
      <c r="O176" s="16"/>
      <c r="P176" s="16"/>
    </row>
    <row r="177" spans="12:16" x14ac:dyDescent="0.2">
      <c r="L177" s="16"/>
      <c r="M177" s="16"/>
      <c r="N177" s="16"/>
      <c r="O177" s="16"/>
      <c r="P177" s="16"/>
    </row>
    <row r="178" spans="12:16" x14ac:dyDescent="0.2">
      <c r="L178" s="16"/>
      <c r="M178" s="16"/>
      <c r="N178" s="16"/>
      <c r="O178" s="16"/>
      <c r="P178" s="16"/>
    </row>
    <row r="179" spans="12:16" x14ac:dyDescent="0.2">
      <c r="L179" s="16"/>
      <c r="M179" s="16"/>
      <c r="N179" s="16"/>
      <c r="O179" s="16"/>
      <c r="P179" s="16"/>
    </row>
    <row r="180" spans="12:16" x14ac:dyDescent="0.2">
      <c r="L180" s="16"/>
      <c r="M180" s="16"/>
      <c r="N180" s="16"/>
      <c r="O180" s="16"/>
      <c r="P180" s="16"/>
    </row>
    <row r="181" spans="12:16" x14ac:dyDescent="0.2">
      <c r="L181" s="16"/>
      <c r="M181" s="16"/>
      <c r="N181" s="16"/>
      <c r="O181" s="16"/>
      <c r="P181" s="16"/>
    </row>
    <row r="182" spans="12:16" x14ac:dyDescent="0.2">
      <c r="L182" s="16"/>
      <c r="M182" s="16"/>
      <c r="N182" s="16"/>
      <c r="O182" s="16"/>
      <c r="P182" s="16"/>
    </row>
    <row r="183" spans="12:16" x14ac:dyDescent="0.2">
      <c r="L183" s="16"/>
      <c r="M183" s="16"/>
      <c r="N183" s="16"/>
      <c r="O183" s="16"/>
      <c r="P183" s="16"/>
    </row>
    <row r="184" spans="12:16" x14ac:dyDescent="0.2">
      <c r="L184" s="16"/>
      <c r="M184" s="16"/>
      <c r="N184" s="16"/>
      <c r="O184" s="16"/>
      <c r="P184" s="16"/>
    </row>
    <row r="185" spans="12:16" x14ac:dyDescent="0.2">
      <c r="L185" s="16"/>
      <c r="M185" s="16"/>
      <c r="N185" s="16"/>
      <c r="O185" s="16"/>
      <c r="P185" s="16"/>
    </row>
    <row r="186" spans="12:16" x14ac:dyDescent="0.2">
      <c r="L186" s="16"/>
      <c r="M186" s="16"/>
      <c r="N186" s="16"/>
      <c r="O186" s="16"/>
      <c r="P186" s="16"/>
    </row>
    <row r="187" spans="12:16" x14ac:dyDescent="0.2">
      <c r="L187" s="16"/>
      <c r="M187" s="16"/>
      <c r="N187" s="16"/>
      <c r="O187" s="16"/>
      <c r="P187" s="16"/>
    </row>
    <row r="188" spans="12:16" x14ac:dyDescent="0.2">
      <c r="L188" s="16"/>
      <c r="M188" s="16"/>
      <c r="N188" s="16"/>
      <c r="O188" s="16"/>
      <c r="P188" s="16"/>
    </row>
    <row r="189" spans="12:16" x14ac:dyDescent="0.2">
      <c r="L189" s="16"/>
      <c r="M189" s="16"/>
      <c r="N189" s="16"/>
      <c r="O189" s="16"/>
      <c r="P189" s="16"/>
    </row>
    <row r="190" spans="12:16" x14ac:dyDescent="0.2">
      <c r="L190" s="16"/>
      <c r="M190" s="16"/>
      <c r="N190" s="16"/>
      <c r="O190" s="16"/>
      <c r="P190" s="16"/>
    </row>
    <row r="191" spans="12:16" x14ac:dyDescent="0.2">
      <c r="L191" s="16"/>
      <c r="M191" s="16"/>
      <c r="N191" s="16"/>
      <c r="O191" s="16"/>
      <c r="P191" s="16"/>
    </row>
    <row r="192" spans="12:16" x14ac:dyDescent="0.2">
      <c r="L192" s="16"/>
      <c r="M192" s="16"/>
      <c r="N192" s="16"/>
      <c r="O192" s="16"/>
      <c r="P192" s="16"/>
    </row>
    <row r="193" spans="12:16" x14ac:dyDescent="0.2">
      <c r="L193" s="16"/>
      <c r="M193" s="16"/>
      <c r="N193" s="16"/>
      <c r="O193" s="16"/>
      <c r="P193" s="16"/>
    </row>
    <row r="194" spans="12:16" x14ac:dyDescent="0.2">
      <c r="L194" s="16"/>
      <c r="M194" s="16"/>
      <c r="N194" s="16"/>
      <c r="O194" s="16"/>
      <c r="P194" s="16"/>
    </row>
    <row r="195" spans="12:16" x14ac:dyDescent="0.2">
      <c r="L195" s="16"/>
      <c r="M195" s="16"/>
      <c r="N195" s="16"/>
      <c r="O195" s="16"/>
      <c r="P195" s="16"/>
    </row>
    <row r="196" spans="12:16" x14ac:dyDescent="0.2">
      <c r="L196" s="16"/>
      <c r="M196" s="16"/>
      <c r="N196" s="16"/>
      <c r="O196" s="16"/>
      <c r="P196" s="16"/>
    </row>
    <row r="197" spans="12:16" x14ac:dyDescent="0.2">
      <c r="L197" s="16"/>
      <c r="M197" s="16"/>
      <c r="N197" s="16"/>
      <c r="O197" s="16"/>
      <c r="P197" s="16"/>
    </row>
    <row r="198" spans="12:16" x14ac:dyDescent="0.2">
      <c r="L198" s="16"/>
      <c r="M198" s="16"/>
      <c r="N198" s="16"/>
      <c r="O198" s="16"/>
      <c r="P198" s="16"/>
    </row>
    <row r="199" spans="12:16" x14ac:dyDescent="0.2">
      <c r="L199" s="16"/>
      <c r="M199" s="16"/>
      <c r="N199" s="16"/>
      <c r="O199" s="16"/>
      <c r="P199" s="16"/>
    </row>
    <row r="200" spans="12:16" x14ac:dyDescent="0.2">
      <c r="L200" s="16"/>
      <c r="M200" s="16"/>
      <c r="N200" s="16"/>
      <c r="O200" s="16"/>
      <c r="P200" s="16"/>
    </row>
    <row r="201" spans="12:16" x14ac:dyDescent="0.2">
      <c r="L201" s="16"/>
      <c r="M201" s="16"/>
      <c r="N201" s="16"/>
      <c r="O201" s="16"/>
      <c r="P201" s="16"/>
    </row>
    <row r="202" spans="12:16" x14ac:dyDescent="0.2">
      <c r="L202" s="16"/>
      <c r="M202" s="16"/>
      <c r="N202" s="16"/>
      <c r="O202" s="16"/>
      <c r="P202" s="16"/>
    </row>
    <row r="203" spans="12:16" x14ac:dyDescent="0.2">
      <c r="L203" s="16"/>
      <c r="M203" s="16"/>
      <c r="N203" s="16"/>
      <c r="O203" s="16"/>
      <c r="P203" s="16"/>
    </row>
    <row r="204" spans="12:16" x14ac:dyDescent="0.2">
      <c r="L204" s="16"/>
      <c r="M204" s="16"/>
      <c r="N204" s="16"/>
      <c r="O204" s="16"/>
      <c r="P204" s="16"/>
    </row>
    <row r="205" spans="12:16" x14ac:dyDescent="0.2">
      <c r="L205" s="16"/>
      <c r="M205" s="16"/>
      <c r="N205" s="16"/>
      <c r="O205" s="16"/>
      <c r="P205" s="16"/>
    </row>
    <row r="206" spans="12:16" x14ac:dyDescent="0.2">
      <c r="L206" s="16"/>
      <c r="M206" s="16"/>
      <c r="N206" s="16"/>
      <c r="O206" s="16"/>
      <c r="P206" s="16"/>
    </row>
    <row r="207" spans="12:16" x14ac:dyDescent="0.2">
      <c r="L207" s="16"/>
      <c r="M207" s="16"/>
      <c r="N207" s="16"/>
      <c r="O207" s="16"/>
      <c r="P207" s="16"/>
    </row>
    <row r="208" spans="12:16" x14ac:dyDescent="0.2">
      <c r="L208" s="16"/>
      <c r="M208" s="16"/>
      <c r="N208" s="16"/>
      <c r="O208" s="16"/>
      <c r="P208" s="16"/>
    </row>
    <row r="209" spans="12:16" x14ac:dyDescent="0.2">
      <c r="L209" s="16"/>
      <c r="M209" s="16"/>
      <c r="N209" s="16"/>
      <c r="O209" s="16"/>
      <c r="P209" s="16"/>
    </row>
    <row r="210" spans="12:16" x14ac:dyDescent="0.2">
      <c r="L210" s="16"/>
      <c r="M210" s="16"/>
      <c r="N210" s="16"/>
      <c r="O210" s="16"/>
      <c r="P210" s="16"/>
    </row>
    <row r="211" spans="12:16" x14ac:dyDescent="0.2">
      <c r="L211" s="16"/>
      <c r="M211" s="16"/>
      <c r="N211" s="16"/>
      <c r="O211" s="16"/>
      <c r="P211" s="16"/>
    </row>
    <row r="212" spans="12:16" x14ac:dyDescent="0.2">
      <c r="L212" s="16"/>
      <c r="M212" s="16"/>
      <c r="N212" s="16"/>
      <c r="O212" s="16"/>
      <c r="P212" s="16"/>
    </row>
    <row r="213" spans="12:16" x14ac:dyDescent="0.2">
      <c r="L213" s="16"/>
      <c r="M213" s="16"/>
      <c r="N213" s="16"/>
      <c r="O213" s="16"/>
      <c r="P213" s="16"/>
    </row>
    <row r="214" spans="12:16" x14ac:dyDescent="0.2">
      <c r="L214" s="16"/>
      <c r="M214" s="16"/>
      <c r="N214" s="16"/>
      <c r="O214" s="16"/>
      <c r="P214" s="16"/>
    </row>
    <row r="215" spans="12:16" x14ac:dyDescent="0.2">
      <c r="L215" s="16"/>
      <c r="M215" s="16"/>
      <c r="N215" s="16"/>
      <c r="O215" s="16"/>
      <c r="P215" s="16"/>
    </row>
    <row r="216" spans="12:16" x14ac:dyDescent="0.2">
      <c r="L216" s="16"/>
      <c r="M216" s="16"/>
      <c r="N216" s="16"/>
      <c r="O216" s="16"/>
      <c r="P216" s="16"/>
    </row>
    <row r="217" spans="12:16" x14ac:dyDescent="0.2">
      <c r="L217" s="16"/>
      <c r="M217" s="16"/>
      <c r="N217" s="16"/>
      <c r="O217" s="16"/>
      <c r="P217" s="16"/>
    </row>
    <row r="218" spans="12:16" x14ac:dyDescent="0.2">
      <c r="L218" s="16"/>
      <c r="M218" s="16"/>
      <c r="N218" s="16"/>
      <c r="O218" s="16"/>
      <c r="P218" s="16"/>
    </row>
    <row r="219" spans="12:16" x14ac:dyDescent="0.2">
      <c r="L219" s="16"/>
      <c r="M219" s="16"/>
      <c r="N219" s="16"/>
      <c r="O219" s="16"/>
      <c r="P219" s="16"/>
    </row>
    <row r="220" spans="12:16" x14ac:dyDescent="0.2">
      <c r="L220" s="16"/>
      <c r="M220" s="16"/>
      <c r="N220" s="16"/>
      <c r="O220" s="16"/>
      <c r="P220" s="16"/>
    </row>
    <row r="221" spans="12:16" x14ac:dyDescent="0.2">
      <c r="L221" s="16"/>
      <c r="M221" s="16"/>
      <c r="N221" s="16"/>
      <c r="O221" s="16"/>
      <c r="P221" s="16"/>
    </row>
    <row r="222" spans="12:16" x14ac:dyDescent="0.2">
      <c r="L222" s="16"/>
      <c r="M222" s="16"/>
      <c r="N222" s="16"/>
      <c r="O222" s="16"/>
      <c r="P222" s="16"/>
    </row>
    <row r="223" spans="12:16" x14ac:dyDescent="0.2">
      <c r="L223" s="16"/>
      <c r="M223" s="16"/>
      <c r="N223" s="16"/>
      <c r="O223" s="16"/>
      <c r="P223" s="16"/>
    </row>
    <row r="224" spans="12:16" x14ac:dyDescent="0.2">
      <c r="L224" s="16"/>
      <c r="M224" s="16"/>
      <c r="N224" s="16"/>
      <c r="O224" s="16"/>
      <c r="P224" s="16"/>
    </row>
    <row r="225" spans="12:16" x14ac:dyDescent="0.2">
      <c r="L225" s="16"/>
      <c r="M225" s="16"/>
      <c r="N225" s="16"/>
      <c r="O225" s="16"/>
      <c r="P225" s="16"/>
    </row>
    <row r="226" spans="12:16" x14ac:dyDescent="0.2">
      <c r="L226" s="16"/>
      <c r="M226" s="16"/>
      <c r="N226" s="16"/>
      <c r="O226" s="16"/>
      <c r="P226" s="16"/>
    </row>
    <row r="227" spans="12:16" x14ac:dyDescent="0.2">
      <c r="L227" s="16"/>
      <c r="M227" s="16"/>
      <c r="N227" s="16"/>
      <c r="O227" s="16"/>
      <c r="P227" s="16"/>
    </row>
    <row r="228" spans="12:16" x14ac:dyDescent="0.2">
      <c r="L228" s="16"/>
      <c r="M228" s="16"/>
      <c r="N228" s="16"/>
      <c r="O228" s="16"/>
      <c r="P228" s="16"/>
    </row>
    <row r="229" spans="12:16" x14ac:dyDescent="0.2">
      <c r="L229" s="16"/>
      <c r="M229" s="16"/>
      <c r="N229" s="16"/>
      <c r="O229" s="16"/>
      <c r="P229" s="16"/>
    </row>
    <row r="230" spans="12:16" x14ac:dyDescent="0.2">
      <c r="L230" s="16"/>
      <c r="M230" s="16"/>
      <c r="N230" s="16"/>
      <c r="O230" s="16"/>
      <c r="P230" s="16"/>
    </row>
    <row r="231" spans="12:16" x14ac:dyDescent="0.2">
      <c r="L231" s="16"/>
      <c r="M231" s="16"/>
      <c r="N231" s="16"/>
      <c r="O231" s="16"/>
      <c r="P231" s="16"/>
    </row>
    <row r="232" spans="12:16" x14ac:dyDescent="0.2">
      <c r="L232" s="16"/>
      <c r="M232" s="16"/>
      <c r="N232" s="16"/>
      <c r="O232" s="16"/>
      <c r="P232" s="16"/>
    </row>
    <row r="233" spans="12:16" x14ac:dyDescent="0.2">
      <c r="L233" s="16"/>
      <c r="M233" s="16"/>
      <c r="N233" s="16"/>
      <c r="O233" s="16"/>
      <c r="P233" s="16"/>
    </row>
    <row r="234" spans="12:16" x14ac:dyDescent="0.2">
      <c r="L234" s="16"/>
      <c r="M234" s="16"/>
      <c r="N234" s="16"/>
      <c r="O234" s="16"/>
      <c r="P234" s="16"/>
    </row>
    <row r="235" spans="12:16" x14ac:dyDescent="0.2">
      <c r="L235" s="16"/>
      <c r="M235" s="16"/>
      <c r="N235" s="16"/>
      <c r="O235" s="16"/>
      <c r="P235" s="16"/>
    </row>
    <row r="236" spans="12:16" x14ac:dyDescent="0.2">
      <c r="L236" s="16"/>
      <c r="M236" s="16"/>
      <c r="N236" s="16"/>
      <c r="O236" s="16"/>
      <c r="P236" s="16"/>
    </row>
    <row r="237" spans="12:16" x14ac:dyDescent="0.2">
      <c r="L237" s="16"/>
      <c r="M237" s="16"/>
      <c r="N237" s="16"/>
      <c r="O237" s="16"/>
      <c r="P237" s="16"/>
    </row>
    <row r="238" spans="12:16" x14ac:dyDescent="0.2">
      <c r="L238" s="16"/>
      <c r="M238" s="16"/>
      <c r="N238" s="16"/>
      <c r="O238" s="16"/>
      <c r="P238" s="16"/>
    </row>
    <row r="239" spans="12:16" x14ac:dyDescent="0.2">
      <c r="L239" s="16"/>
      <c r="M239" s="16"/>
      <c r="N239" s="16"/>
      <c r="O239" s="16"/>
      <c r="P239" s="16"/>
    </row>
    <row r="240" spans="12:16" x14ac:dyDescent="0.2">
      <c r="L240" s="16"/>
      <c r="M240" s="16"/>
      <c r="N240" s="16"/>
      <c r="O240" s="16"/>
      <c r="P240" s="16"/>
    </row>
    <row r="241" spans="12:16" x14ac:dyDescent="0.2">
      <c r="L241" s="16"/>
      <c r="M241" s="16"/>
      <c r="N241" s="16"/>
      <c r="O241" s="16"/>
      <c r="P241" s="16"/>
    </row>
    <row r="242" spans="12:16" x14ac:dyDescent="0.2">
      <c r="L242" s="16"/>
      <c r="M242" s="16"/>
      <c r="N242" s="16"/>
      <c r="O242" s="16"/>
      <c r="P242" s="16"/>
    </row>
    <row r="243" spans="12:16" x14ac:dyDescent="0.2">
      <c r="L243" s="16"/>
      <c r="M243" s="16"/>
      <c r="N243" s="16"/>
      <c r="O243" s="16"/>
      <c r="P243" s="16"/>
    </row>
    <row r="244" spans="12:16" x14ac:dyDescent="0.2">
      <c r="L244" s="16"/>
      <c r="M244" s="16"/>
      <c r="N244" s="16"/>
      <c r="O244" s="16"/>
      <c r="P244" s="16"/>
    </row>
    <row r="245" spans="12:16" x14ac:dyDescent="0.2">
      <c r="L245" s="16"/>
      <c r="M245" s="16"/>
      <c r="N245" s="16"/>
      <c r="O245" s="16"/>
      <c r="P245" s="16"/>
    </row>
    <row r="246" spans="12:16" x14ac:dyDescent="0.2">
      <c r="L246" s="16"/>
      <c r="M246" s="16"/>
      <c r="N246" s="16"/>
      <c r="O246" s="16"/>
      <c r="P246" s="16"/>
    </row>
    <row r="247" spans="12:16" x14ac:dyDescent="0.2">
      <c r="L247" s="16"/>
      <c r="M247" s="16"/>
      <c r="N247" s="16"/>
      <c r="O247" s="16"/>
      <c r="P247" s="16"/>
    </row>
    <row r="248" spans="12:16" x14ac:dyDescent="0.2">
      <c r="L248" s="16"/>
      <c r="M248" s="16"/>
      <c r="N248" s="16"/>
      <c r="O248" s="16"/>
      <c r="P248" s="16"/>
    </row>
    <row r="249" spans="12:16" x14ac:dyDescent="0.2">
      <c r="L249" s="16"/>
      <c r="M249" s="16"/>
      <c r="N249" s="16"/>
      <c r="O249" s="16"/>
      <c r="P249" s="16"/>
    </row>
    <row r="250" spans="12:16" x14ac:dyDescent="0.2">
      <c r="L250" s="16"/>
      <c r="M250" s="16"/>
      <c r="N250" s="16"/>
      <c r="O250" s="16"/>
      <c r="P250" s="16"/>
    </row>
    <row r="251" spans="12:16" x14ac:dyDescent="0.2">
      <c r="L251" s="16"/>
      <c r="M251" s="16"/>
      <c r="N251" s="16"/>
      <c r="O251" s="16"/>
      <c r="P251" s="16"/>
    </row>
    <row r="252" spans="12:16" x14ac:dyDescent="0.2">
      <c r="L252" s="16"/>
      <c r="M252" s="16"/>
      <c r="N252" s="16"/>
      <c r="O252" s="16"/>
      <c r="P252" s="16"/>
    </row>
    <row r="253" spans="12:16" x14ac:dyDescent="0.2">
      <c r="L253" s="16"/>
      <c r="M253" s="16"/>
      <c r="N253" s="16"/>
      <c r="O253" s="16"/>
      <c r="P253" s="16"/>
    </row>
    <row r="254" spans="12:16" x14ac:dyDescent="0.2">
      <c r="L254" s="16"/>
      <c r="M254" s="16"/>
      <c r="N254" s="16"/>
      <c r="O254" s="16"/>
      <c r="P254" s="16"/>
    </row>
    <row r="255" spans="12:16" x14ac:dyDescent="0.2">
      <c r="L255" s="16"/>
      <c r="M255" s="16"/>
      <c r="N255" s="16"/>
      <c r="O255" s="16"/>
      <c r="P255" s="16"/>
    </row>
    <row r="256" spans="12:16" x14ac:dyDescent="0.2">
      <c r="L256" s="16"/>
      <c r="M256" s="16"/>
      <c r="N256" s="16"/>
      <c r="O256" s="16"/>
      <c r="P256" s="16"/>
    </row>
    <row r="257" spans="12:16" x14ac:dyDescent="0.2">
      <c r="L257" s="16"/>
      <c r="M257" s="16"/>
      <c r="N257" s="16"/>
      <c r="O257" s="16"/>
      <c r="P257" s="16"/>
    </row>
    <row r="258" spans="12:16" x14ac:dyDescent="0.2">
      <c r="L258" s="16"/>
      <c r="M258" s="16"/>
      <c r="N258" s="16"/>
      <c r="O258" s="16"/>
      <c r="P258" s="16"/>
    </row>
    <row r="259" spans="12:16" x14ac:dyDescent="0.2">
      <c r="L259" s="16"/>
      <c r="M259" s="16"/>
      <c r="N259" s="16"/>
      <c r="O259" s="16"/>
      <c r="P259" s="16"/>
    </row>
    <row r="260" spans="12:16" x14ac:dyDescent="0.2">
      <c r="L260" s="16"/>
      <c r="M260" s="16"/>
      <c r="N260" s="16"/>
      <c r="O260" s="16"/>
      <c r="P260" s="16"/>
    </row>
    <row r="261" spans="12:16" x14ac:dyDescent="0.2">
      <c r="L261" s="16"/>
      <c r="M261" s="16"/>
      <c r="N261" s="16"/>
      <c r="O261" s="16"/>
      <c r="P261" s="16"/>
    </row>
    <row r="262" spans="12:16" x14ac:dyDescent="0.2">
      <c r="L262" s="16"/>
      <c r="M262" s="16"/>
      <c r="N262" s="16"/>
      <c r="O262" s="16"/>
      <c r="P262" s="16"/>
    </row>
    <row r="263" spans="12:16" x14ac:dyDescent="0.2">
      <c r="L263" s="16"/>
      <c r="M263" s="16"/>
      <c r="N263" s="16"/>
      <c r="O263" s="16"/>
      <c r="P263" s="16"/>
    </row>
    <row r="264" spans="12:16" x14ac:dyDescent="0.2">
      <c r="L264" s="16"/>
      <c r="M264" s="16"/>
      <c r="N264" s="16"/>
      <c r="O264" s="16"/>
      <c r="P264" s="16"/>
    </row>
    <row r="265" spans="12:16" x14ac:dyDescent="0.2">
      <c r="L265" s="16"/>
      <c r="M265" s="16"/>
      <c r="N265" s="16"/>
      <c r="O265" s="16"/>
      <c r="P265" s="16"/>
    </row>
    <row r="266" spans="12:16" x14ac:dyDescent="0.2">
      <c r="L266" s="16"/>
      <c r="M266" s="16"/>
      <c r="N266" s="16"/>
      <c r="O266" s="16"/>
      <c r="P266" s="16"/>
    </row>
    <row r="267" spans="12:16" x14ac:dyDescent="0.2">
      <c r="L267" s="16"/>
      <c r="M267" s="16"/>
      <c r="N267" s="16"/>
      <c r="O267" s="16"/>
      <c r="P267" s="16"/>
    </row>
    <row r="268" spans="12:16" x14ac:dyDescent="0.2">
      <c r="L268" s="16"/>
      <c r="M268" s="16"/>
      <c r="N268" s="16"/>
      <c r="O268" s="16"/>
      <c r="P268" s="16"/>
    </row>
    <row r="269" spans="12:16" x14ac:dyDescent="0.2">
      <c r="L269" s="16"/>
      <c r="M269" s="16"/>
      <c r="N269" s="16"/>
      <c r="O269" s="16"/>
      <c r="P269" s="16"/>
    </row>
    <row r="270" spans="12:16" x14ac:dyDescent="0.2">
      <c r="L270" s="16"/>
      <c r="M270" s="16"/>
      <c r="N270" s="16"/>
      <c r="O270" s="16"/>
      <c r="P270" s="16"/>
    </row>
    <row r="271" spans="12:16" x14ac:dyDescent="0.2">
      <c r="L271" s="16"/>
      <c r="M271" s="16"/>
      <c r="N271" s="16"/>
      <c r="O271" s="16"/>
      <c r="P271" s="16"/>
    </row>
    <row r="272" spans="12:16" x14ac:dyDescent="0.2">
      <c r="L272" s="16"/>
      <c r="M272" s="16"/>
      <c r="N272" s="16"/>
      <c r="O272" s="16"/>
      <c r="P272" s="16"/>
    </row>
    <row r="273" spans="12:16" x14ac:dyDescent="0.2">
      <c r="L273" s="16"/>
      <c r="M273" s="16"/>
      <c r="N273" s="16"/>
      <c r="O273" s="16"/>
      <c r="P273" s="16"/>
    </row>
    <row r="274" spans="12:16" x14ac:dyDescent="0.2">
      <c r="L274" s="16"/>
      <c r="M274" s="16"/>
      <c r="N274" s="16"/>
      <c r="O274" s="16"/>
      <c r="P274" s="16"/>
    </row>
    <row r="275" spans="12:16" x14ac:dyDescent="0.2">
      <c r="L275" s="16"/>
      <c r="M275" s="16"/>
      <c r="N275" s="16"/>
      <c r="O275" s="16"/>
      <c r="P275" s="16"/>
    </row>
    <row r="276" spans="12:16" x14ac:dyDescent="0.2">
      <c r="L276" s="16"/>
      <c r="M276" s="16"/>
      <c r="N276" s="16"/>
      <c r="O276" s="16"/>
      <c r="P276" s="16"/>
    </row>
    <row r="277" spans="12:16" x14ac:dyDescent="0.2">
      <c r="L277" s="16"/>
      <c r="M277" s="16"/>
      <c r="N277" s="16"/>
      <c r="O277" s="16"/>
      <c r="P277" s="16"/>
    </row>
    <row r="278" spans="12:16" x14ac:dyDescent="0.2">
      <c r="L278" s="16"/>
      <c r="M278" s="16"/>
      <c r="N278" s="16"/>
      <c r="O278" s="16"/>
      <c r="P278" s="16"/>
    </row>
    <row r="279" spans="12:16" x14ac:dyDescent="0.2">
      <c r="L279" s="16"/>
      <c r="M279" s="16"/>
      <c r="N279" s="16"/>
      <c r="O279" s="16"/>
      <c r="P279" s="16"/>
    </row>
    <row r="280" spans="12:16" x14ac:dyDescent="0.2">
      <c r="L280" s="16"/>
      <c r="M280" s="16"/>
      <c r="N280" s="16"/>
      <c r="O280" s="16"/>
      <c r="P280" s="16"/>
    </row>
    <row r="281" spans="12:16" x14ac:dyDescent="0.2">
      <c r="L281" s="16"/>
      <c r="M281" s="16"/>
      <c r="N281" s="16"/>
      <c r="O281" s="16"/>
      <c r="P281" s="16"/>
    </row>
    <row r="282" spans="12:16" x14ac:dyDescent="0.2">
      <c r="L282" s="16"/>
      <c r="M282" s="16"/>
      <c r="N282" s="16"/>
      <c r="O282" s="16"/>
      <c r="P282" s="16"/>
    </row>
    <row r="283" spans="12:16" x14ac:dyDescent="0.2">
      <c r="L283" s="16"/>
      <c r="M283" s="16"/>
      <c r="N283" s="16"/>
      <c r="O283" s="16"/>
      <c r="P283" s="16"/>
    </row>
    <row r="284" spans="12:16" x14ac:dyDescent="0.2">
      <c r="L284" s="16"/>
      <c r="M284" s="16"/>
      <c r="N284" s="16"/>
      <c r="O284" s="16"/>
      <c r="P284" s="16"/>
    </row>
    <row r="285" spans="12:16" x14ac:dyDescent="0.2">
      <c r="L285" s="16"/>
      <c r="M285" s="16"/>
      <c r="N285" s="16"/>
      <c r="O285" s="16"/>
      <c r="P285" s="16"/>
    </row>
    <row r="286" spans="12:16" x14ac:dyDescent="0.2">
      <c r="L286" s="16"/>
      <c r="M286" s="16"/>
      <c r="N286" s="16"/>
      <c r="O286" s="16"/>
      <c r="P286" s="16"/>
    </row>
    <row r="287" spans="12:16" x14ac:dyDescent="0.2">
      <c r="L287" s="16"/>
      <c r="M287" s="16"/>
      <c r="N287" s="16"/>
      <c r="O287" s="16"/>
      <c r="P287" s="16"/>
    </row>
    <row r="288" spans="12:16" x14ac:dyDescent="0.2">
      <c r="L288" s="16"/>
      <c r="M288" s="16"/>
      <c r="N288" s="16"/>
      <c r="O288" s="16"/>
      <c r="P288" s="16"/>
    </row>
    <row r="289" spans="12:16" x14ac:dyDescent="0.2">
      <c r="L289" s="16"/>
      <c r="M289" s="16"/>
      <c r="N289" s="16"/>
      <c r="O289" s="16"/>
      <c r="P289" s="16"/>
    </row>
    <row r="290" spans="12:16" x14ac:dyDescent="0.2">
      <c r="L290" s="16"/>
      <c r="M290" s="16"/>
      <c r="N290" s="16"/>
      <c r="O290" s="16"/>
      <c r="P290" s="16"/>
    </row>
    <row r="291" spans="12:16" x14ac:dyDescent="0.2">
      <c r="L291" s="16"/>
      <c r="M291" s="16"/>
      <c r="N291" s="16"/>
      <c r="O291" s="16"/>
      <c r="P291" s="16"/>
    </row>
    <row r="292" spans="12:16" x14ac:dyDescent="0.2">
      <c r="L292" s="16"/>
      <c r="M292" s="16"/>
      <c r="N292" s="16"/>
      <c r="O292" s="16"/>
      <c r="P292" s="16"/>
    </row>
    <row r="293" spans="12:16" x14ac:dyDescent="0.2">
      <c r="L293" s="16"/>
      <c r="M293" s="16"/>
      <c r="N293" s="16"/>
      <c r="O293" s="16"/>
      <c r="P293" s="16"/>
    </row>
    <row r="294" spans="12:16" x14ac:dyDescent="0.2">
      <c r="L294" s="16"/>
      <c r="M294" s="16"/>
      <c r="N294" s="16"/>
      <c r="O294" s="16"/>
      <c r="P294" s="16"/>
    </row>
    <row r="295" spans="12:16" x14ac:dyDescent="0.2">
      <c r="L295" s="16"/>
      <c r="M295" s="16"/>
      <c r="N295" s="16"/>
      <c r="O295" s="16"/>
      <c r="P295" s="16"/>
    </row>
    <row r="296" spans="12:16" x14ac:dyDescent="0.2">
      <c r="L296" s="16"/>
      <c r="M296" s="16"/>
      <c r="N296" s="16"/>
      <c r="O296" s="16"/>
      <c r="P296" s="16"/>
    </row>
    <row r="297" spans="12:16" x14ac:dyDescent="0.2">
      <c r="L297" s="16"/>
      <c r="M297" s="16"/>
      <c r="N297" s="16"/>
      <c r="O297" s="16"/>
      <c r="P297" s="16"/>
    </row>
    <row r="298" spans="12:16" x14ac:dyDescent="0.2">
      <c r="L298" s="16"/>
      <c r="M298" s="16"/>
      <c r="N298" s="16"/>
      <c r="O298" s="16"/>
      <c r="P298" s="16"/>
    </row>
    <row r="299" spans="12:16" x14ac:dyDescent="0.2">
      <c r="L299" s="16"/>
      <c r="M299" s="16"/>
      <c r="N299" s="16"/>
      <c r="O299" s="16"/>
      <c r="P299" s="16"/>
    </row>
    <row r="300" spans="12:16" x14ac:dyDescent="0.2">
      <c r="L300" s="16"/>
      <c r="M300" s="16"/>
      <c r="N300" s="16"/>
      <c r="O300" s="16"/>
      <c r="P300" s="16"/>
    </row>
    <row r="301" spans="12:16" x14ac:dyDescent="0.2">
      <c r="L301" s="16"/>
      <c r="M301" s="16"/>
      <c r="N301" s="16"/>
      <c r="O301" s="16"/>
      <c r="P301" s="16"/>
    </row>
    <row r="302" spans="12:16" x14ac:dyDescent="0.2">
      <c r="L302" s="16"/>
      <c r="M302" s="16"/>
      <c r="N302" s="16"/>
      <c r="O302" s="16"/>
      <c r="P302" s="16"/>
    </row>
    <row r="303" spans="12:16" x14ac:dyDescent="0.2">
      <c r="L303" s="16"/>
      <c r="M303" s="16"/>
      <c r="N303" s="16"/>
      <c r="O303" s="16"/>
      <c r="P303" s="16"/>
    </row>
    <row r="304" spans="12:16" x14ac:dyDescent="0.2">
      <c r="L304" s="16"/>
      <c r="M304" s="16"/>
      <c r="N304" s="16"/>
      <c r="O304" s="16"/>
      <c r="P304" s="16"/>
    </row>
    <row r="305" spans="12:16" x14ac:dyDescent="0.2">
      <c r="L305" s="16"/>
      <c r="M305" s="16"/>
      <c r="N305" s="16"/>
      <c r="O305" s="16"/>
      <c r="P305" s="16"/>
    </row>
    <row r="306" spans="12:16" x14ac:dyDescent="0.2">
      <c r="L306" s="16"/>
      <c r="M306" s="16"/>
      <c r="N306" s="16"/>
      <c r="O306" s="16"/>
      <c r="P306" s="16"/>
    </row>
    <row r="307" spans="12:16" x14ac:dyDescent="0.2">
      <c r="L307" s="16"/>
      <c r="M307" s="16"/>
      <c r="N307" s="16"/>
      <c r="O307" s="16"/>
      <c r="P307" s="16"/>
    </row>
    <row r="308" spans="12:16" x14ac:dyDescent="0.2">
      <c r="L308" s="16"/>
      <c r="M308" s="16"/>
      <c r="N308" s="16"/>
      <c r="O308" s="16"/>
      <c r="P308" s="16"/>
    </row>
    <row r="309" spans="12:16" x14ac:dyDescent="0.2">
      <c r="L309" s="16"/>
      <c r="M309" s="16"/>
      <c r="N309" s="16"/>
      <c r="O309" s="16"/>
      <c r="P309" s="16"/>
    </row>
    <row r="310" spans="12:16" x14ac:dyDescent="0.2">
      <c r="L310" s="16"/>
      <c r="M310" s="16"/>
      <c r="N310" s="16"/>
      <c r="O310" s="16"/>
      <c r="P310" s="16"/>
    </row>
    <row r="311" spans="12:16" x14ac:dyDescent="0.2">
      <c r="L311" s="16"/>
      <c r="M311" s="16"/>
      <c r="N311" s="16"/>
      <c r="O311" s="16"/>
      <c r="P311" s="16"/>
    </row>
    <row r="312" spans="12:16" x14ac:dyDescent="0.2">
      <c r="L312" s="16"/>
      <c r="M312" s="16"/>
      <c r="N312" s="16"/>
      <c r="O312" s="16"/>
      <c r="P312" s="16"/>
    </row>
    <row r="313" spans="12:16" x14ac:dyDescent="0.2">
      <c r="L313" s="16"/>
      <c r="M313" s="16"/>
      <c r="N313" s="16"/>
      <c r="O313" s="16"/>
      <c r="P313" s="16"/>
    </row>
    <row r="314" spans="12:16" x14ac:dyDescent="0.2">
      <c r="L314" s="16"/>
      <c r="M314" s="16"/>
      <c r="N314" s="16"/>
      <c r="O314" s="16"/>
      <c r="P314" s="16"/>
    </row>
    <row r="315" spans="12:16" x14ac:dyDescent="0.2">
      <c r="L315" s="16"/>
      <c r="M315" s="16"/>
      <c r="N315" s="16"/>
      <c r="O315" s="16"/>
      <c r="P315" s="16"/>
    </row>
    <row r="316" spans="12:16" x14ac:dyDescent="0.2">
      <c r="L316" s="16"/>
      <c r="M316" s="16"/>
      <c r="N316" s="16"/>
      <c r="O316" s="16"/>
      <c r="P316" s="16"/>
    </row>
    <row r="317" spans="12:16" x14ac:dyDescent="0.2">
      <c r="L317" s="16"/>
      <c r="M317" s="16"/>
      <c r="N317" s="16"/>
      <c r="O317" s="16"/>
      <c r="P317" s="16"/>
    </row>
    <row r="318" spans="12:16" x14ac:dyDescent="0.2">
      <c r="L318" s="16"/>
      <c r="M318" s="16"/>
      <c r="N318" s="16"/>
      <c r="O318" s="16"/>
      <c r="P318" s="16"/>
    </row>
    <row r="319" spans="12:16" x14ac:dyDescent="0.2">
      <c r="L319" s="16"/>
      <c r="M319" s="16"/>
      <c r="N319" s="16"/>
      <c r="O319" s="16"/>
      <c r="P319" s="16"/>
    </row>
    <row r="320" spans="12:16" x14ac:dyDescent="0.2">
      <c r="L320" s="16"/>
      <c r="M320" s="16"/>
      <c r="N320" s="16"/>
      <c r="O320" s="16"/>
      <c r="P320" s="16"/>
    </row>
    <row r="321" spans="12:16" x14ac:dyDescent="0.2">
      <c r="L321" s="16"/>
      <c r="M321" s="16"/>
      <c r="N321" s="16"/>
      <c r="O321" s="16"/>
      <c r="P321" s="16"/>
    </row>
    <row r="322" spans="12:16" x14ac:dyDescent="0.2">
      <c r="L322" s="16"/>
      <c r="M322" s="16"/>
      <c r="N322" s="16"/>
      <c r="O322" s="16"/>
      <c r="P322" s="16"/>
    </row>
    <row r="323" spans="12:16" x14ac:dyDescent="0.2">
      <c r="L323" s="16"/>
      <c r="M323" s="16"/>
      <c r="N323" s="16"/>
      <c r="O323" s="16"/>
      <c r="P323" s="16"/>
    </row>
    <row r="324" spans="12:16" x14ac:dyDescent="0.2">
      <c r="L324" s="16"/>
      <c r="M324" s="16"/>
      <c r="N324" s="16"/>
      <c r="O324" s="16"/>
      <c r="P324" s="16"/>
    </row>
    <row r="325" spans="12:16" x14ac:dyDescent="0.2">
      <c r="L325" s="16"/>
      <c r="M325" s="16"/>
      <c r="N325" s="16"/>
      <c r="O325" s="16"/>
      <c r="P325" s="16"/>
    </row>
    <row r="326" spans="12:16" x14ac:dyDescent="0.2">
      <c r="L326" s="16"/>
      <c r="M326" s="16"/>
      <c r="N326" s="16"/>
      <c r="O326" s="16"/>
      <c r="P326" s="16"/>
    </row>
    <row r="327" spans="12:16" x14ac:dyDescent="0.2">
      <c r="L327" s="16"/>
      <c r="M327" s="16"/>
      <c r="N327" s="16"/>
      <c r="O327" s="16"/>
      <c r="P327" s="16"/>
    </row>
    <row r="328" spans="12:16" x14ac:dyDescent="0.2">
      <c r="L328" s="16"/>
      <c r="M328" s="16"/>
      <c r="N328" s="16"/>
      <c r="O328" s="16"/>
      <c r="P328" s="16"/>
    </row>
    <row r="329" spans="12:16" x14ac:dyDescent="0.2">
      <c r="L329" s="16"/>
      <c r="M329" s="16"/>
      <c r="N329" s="16"/>
      <c r="O329" s="16"/>
      <c r="P329" s="16"/>
    </row>
    <row r="330" spans="12:16" x14ac:dyDescent="0.2">
      <c r="L330" s="16"/>
      <c r="M330" s="16"/>
      <c r="N330" s="16"/>
      <c r="O330" s="16"/>
      <c r="P330" s="16"/>
    </row>
    <row r="331" spans="12:16" x14ac:dyDescent="0.2">
      <c r="L331" s="16"/>
      <c r="M331" s="16"/>
      <c r="N331" s="16"/>
      <c r="O331" s="16"/>
      <c r="P331" s="16"/>
    </row>
    <row r="332" spans="12:16" x14ac:dyDescent="0.2">
      <c r="L332" s="16"/>
      <c r="M332" s="16"/>
      <c r="N332" s="16"/>
      <c r="O332" s="16"/>
      <c r="P332" s="16"/>
    </row>
    <row r="333" spans="12:16" x14ac:dyDescent="0.2">
      <c r="L333" s="16"/>
      <c r="M333" s="16"/>
      <c r="N333" s="16"/>
      <c r="O333" s="16"/>
      <c r="P333" s="16"/>
    </row>
    <row r="334" spans="12:16" x14ac:dyDescent="0.2">
      <c r="L334" s="16"/>
      <c r="M334" s="16"/>
      <c r="N334" s="16"/>
      <c r="O334" s="16"/>
      <c r="P334" s="16"/>
    </row>
    <row r="335" spans="12:16" x14ac:dyDescent="0.2">
      <c r="L335" s="16"/>
      <c r="M335" s="16"/>
      <c r="N335" s="16"/>
      <c r="O335" s="16"/>
      <c r="P335" s="16"/>
    </row>
    <row r="336" spans="12:16" x14ac:dyDescent="0.2">
      <c r="L336" s="16"/>
      <c r="M336" s="16"/>
      <c r="N336" s="16"/>
      <c r="O336" s="16"/>
      <c r="P336" s="16"/>
    </row>
    <row r="337" spans="12:16" x14ac:dyDescent="0.2">
      <c r="L337" s="16"/>
      <c r="M337" s="16"/>
      <c r="N337" s="16"/>
      <c r="O337" s="16"/>
      <c r="P337" s="16"/>
    </row>
    <row r="338" spans="12:16" x14ac:dyDescent="0.2">
      <c r="L338" s="16"/>
      <c r="M338" s="16"/>
      <c r="N338" s="16"/>
      <c r="O338" s="16"/>
      <c r="P338" s="16"/>
    </row>
    <row r="339" spans="12:16" x14ac:dyDescent="0.2">
      <c r="L339" s="16"/>
      <c r="M339" s="16"/>
      <c r="N339" s="16"/>
      <c r="O339" s="16"/>
      <c r="P339" s="16"/>
    </row>
    <row r="340" spans="12:16" x14ac:dyDescent="0.2">
      <c r="L340" s="16"/>
      <c r="M340" s="16"/>
      <c r="N340" s="16"/>
      <c r="O340" s="16"/>
      <c r="P340" s="16"/>
    </row>
    <row r="341" spans="12:16" x14ac:dyDescent="0.2">
      <c r="L341" s="16"/>
      <c r="M341" s="16"/>
      <c r="N341" s="16"/>
      <c r="O341" s="16"/>
      <c r="P341" s="16"/>
    </row>
    <row r="342" spans="12:16" x14ac:dyDescent="0.2">
      <c r="L342" s="16"/>
      <c r="M342" s="16"/>
      <c r="N342" s="16"/>
      <c r="O342" s="16"/>
      <c r="P342" s="16"/>
    </row>
    <row r="343" spans="12:16" x14ac:dyDescent="0.2">
      <c r="L343" s="16"/>
      <c r="M343" s="16"/>
      <c r="N343" s="16"/>
      <c r="O343" s="16"/>
      <c r="P343" s="16"/>
    </row>
    <row r="344" spans="12:16" x14ac:dyDescent="0.2">
      <c r="L344" s="16"/>
      <c r="M344" s="16"/>
      <c r="N344" s="16"/>
      <c r="O344" s="16"/>
      <c r="P344" s="16"/>
    </row>
    <row r="345" spans="12:16" x14ac:dyDescent="0.2">
      <c r="L345" s="16"/>
      <c r="M345" s="16"/>
      <c r="N345" s="16"/>
      <c r="O345" s="16"/>
      <c r="P345" s="16"/>
    </row>
    <row r="346" spans="12:16" x14ac:dyDescent="0.2">
      <c r="L346" s="16"/>
      <c r="M346" s="16"/>
      <c r="N346" s="16"/>
      <c r="O346" s="16"/>
      <c r="P346" s="16"/>
    </row>
    <row r="347" spans="12:16" x14ac:dyDescent="0.2">
      <c r="L347" s="16"/>
      <c r="M347" s="16"/>
      <c r="N347" s="16"/>
      <c r="O347" s="16"/>
      <c r="P347" s="16"/>
    </row>
    <row r="348" spans="12:16" x14ac:dyDescent="0.2">
      <c r="L348" s="16"/>
      <c r="M348" s="16"/>
      <c r="N348" s="16"/>
      <c r="O348" s="16"/>
      <c r="P348" s="16"/>
    </row>
    <row r="349" spans="12:16" x14ac:dyDescent="0.2">
      <c r="L349" s="16"/>
      <c r="M349" s="16"/>
      <c r="N349" s="16"/>
      <c r="O349" s="16"/>
      <c r="P349" s="16"/>
    </row>
    <row r="350" spans="12:16" x14ac:dyDescent="0.2">
      <c r="L350" s="16"/>
      <c r="M350" s="16"/>
      <c r="N350" s="16"/>
      <c r="O350" s="16"/>
      <c r="P350" s="16"/>
    </row>
    <row r="351" spans="12:16" x14ac:dyDescent="0.2">
      <c r="L351" s="16"/>
      <c r="M351" s="16"/>
      <c r="N351" s="16"/>
      <c r="O351" s="16"/>
      <c r="P351" s="16"/>
    </row>
    <row r="352" spans="12:16" x14ac:dyDescent="0.2">
      <c r="L352" s="16"/>
      <c r="M352" s="16"/>
      <c r="N352" s="16"/>
      <c r="O352" s="16"/>
      <c r="P352" s="16"/>
    </row>
    <row r="353" spans="12:16" x14ac:dyDescent="0.2">
      <c r="L353" s="16"/>
      <c r="M353" s="16"/>
      <c r="N353" s="16"/>
      <c r="O353" s="16"/>
      <c r="P353" s="16"/>
    </row>
    <row r="354" spans="12:16" x14ac:dyDescent="0.2">
      <c r="L354" s="16"/>
      <c r="M354" s="16"/>
      <c r="N354" s="16"/>
      <c r="O354" s="16"/>
      <c r="P354" s="16"/>
    </row>
    <row r="355" spans="12:16" x14ac:dyDescent="0.2">
      <c r="L355" s="16"/>
      <c r="M355" s="16"/>
      <c r="N355" s="16"/>
      <c r="O355" s="16"/>
      <c r="P355" s="16"/>
    </row>
    <row r="356" spans="12:16" x14ac:dyDescent="0.2">
      <c r="L356" s="16"/>
      <c r="M356" s="16"/>
      <c r="N356" s="16"/>
      <c r="O356" s="16"/>
      <c r="P356" s="16"/>
    </row>
    <row r="357" spans="12:16" x14ac:dyDescent="0.2">
      <c r="L357" s="16"/>
      <c r="M357" s="16"/>
      <c r="N357" s="16"/>
      <c r="O357" s="16"/>
      <c r="P357" s="16"/>
    </row>
    <row r="358" spans="12:16" x14ac:dyDescent="0.2">
      <c r="L358" s="16"/>
      <c r="M358" s="16"/>
      <c r="N358" s="16"/>
      <c r="O358" s="16"/>
      <c r="P358" s="16"/>
    </row>
    <row r="359" spans="12:16" x14ac:dyDescent="0.2">
      <c r="L359" s="16"/>
      <c r="M359" s="16"/>
      <c r="N359" s="16"/>
      <c r="O359" s="16"/>
      <c r="P359" s="16"/>
    </row>
    <row r="360" spans="12:16" x14ac:dyDescent="0.2">
      <c r="L360" s="16"/>
      <c r="M360" s="16"/>
      <c r="N360" s="16"/>
      <c r="O360" s="16"/>
      <c r="P360" s="16"/>
    </row>
    <row r="361" spans="12:16" x14ac:dyDescent="0.2">
      <c r="L361" s="16"/>
      <c r="M361" s="16"/>
      <c r="N361" s="16"/>
      <c r="O361" s="16"/>
      <c r="P361" s="16"/>
    </row>
    <row r="362" spans="12:16" x14ac:dyDescent="0.2">
      <c r="L362" s="16"/>
      <c r="M362" s="16"/>
      <c r="N362" s="16"/>
      <c r="O362" s="16"/>
      <c r="P362" s="16"/>
    </row>
    <row r="363" spans="12:16" x14ac:dyDescent="0.2">
      <c r="L363" s="16"/>
      <c r="M363" s="16"/>
      <c r="N363" s="16"/>
      <c r="O363" s="16"/>
      <c r="P363" s="16"/>
    </row>
    <row r="364" spans="12:16" x14ac:dyDescent="0.2">
      <c r="L364" s="16"/>
      <c r="M364" s="16"/>
      <c r="N364" s="16"/>
      <c r="O364" s="16"/>
      <c r="P364" s="16"/>
    </row>
    <row r="365" spans="12:16" x14ac:dyDescent="0.2">
      <c r="L365" s="16"/>
      <c r="M365" s="16"/>
      <c r="N365" s="16"/>
      <c r="O365" s="16"/>
      <c r="P365" s="16"/>
    </row>
    <row r="366" spans="12:16" x14ac:dyDescent="0.2">
      <c r="L366" s="16"/>
      <c r="M366" s="16"/>
      <c r="N366" s="16"/>
      <c r="O366" s="16"/>
      <c r="P366" s="16"/>
    </row>
    <row r="367" spans="12:16" x14ac:dyDescent="0.2">
      <c r="L367" s="16"/>
      <c r="M367" s="16"/>
      <c r="N367" s="16"/>
      <c r="O367" s="16"/>
      <c r="P367" s="16"/>
    </row>
    <row r="368" spans="12:16" x14ac:dyDescent="0.2">
      <c r="L368" s="16"/>
      <c r="M368" s="16"/>
      <c r="N368" s="16"/>
      <c r="O368" s="16"/>
      <c r="P368" s="16"/>
    </row>
    <row r="369" spans="12:16" x14ac:dyDescent="0.2">
      <c r="L369" s="16"/>
      <c r="M369" s="16"/>
      <c r="N369" s="16"/>
      <c r="O369" s="16"/>
      <c r="P369" s="16"/>
    </row>
    <row r="370" spans="12:16" x14ac:dyDescent="0.2">
      <c r="L370" s="16"/>
      <c r="M370" s="16"/>
      <c r="N370" s="16"/>
      <c r="O370" s="16"/>
      <c r="P370" s="16"/>
    </row>
    <row r="371" spans="12:16" x14ac:dyDescent="0.2">
      <c r="L371" s="16"/>
      <c r="M371" s="16"/>
      <c r="N371" s="16"/>
      <c r="O371" s="16"/>
      <c r="P371" s="16"/>
    </row>
    <row r="372" spans="12:16" x14ac:dyDescent="0.2">
      <c r="L372" s="16"/>
      <c r="M372" s="16"/>
      <c r="N372" s="16"/>
      <c r="O372" s="16"/>
      <c r="P372" s="16"/>
    </row>
    <row r="373" spans="12:16" x14ac:dyDescent="0.2">
      <c r="L373" s="16"/>
      <c r="M373" s="16"/>
      <c r="N373" s="16"/>
      <c r="O373" s="16"/>
      <c r="P373" s="16"/>
    </row>
    <row r="374" spans="12:16" x14ac:dyDescent="0.2">
      <c r="L374" s="16"/>
      <c r="M374" s="16"/>
      <c r="N374" s="16"/>
      <c r="O374" s="16"/>
      <c r="P374" s="16"/>
    </row>
    <row r="375" spans="12:16" x14ac:dyDescent="0.2">
      <c r="L375" s="16"/>
      <c r="M375" s="16"/>
      <c r="N375" s="16"/>
      <c r="O375" s="16"/>
      <c r="P375" s="16"/>
    </row>
    <row r="376" spans="12:16" x14ac:dyDescent="0.2">
      <c r="L376" s="16"/>
      <c r="M376" s="16"/>
      <c r="N376" s="16"/>
      <c r="O376" s="16"/>
      <c r="P376" s="16"/>
    </row>
    <row r="377" spans="12:16" x14ac:dyDescent="0.2">
      <c r="L377" s="16"/>
      <c r="M377" s="16"/>
      <c r="N377" s="16"/>
      <c r="O377" s="16"/>
      <c r="P377" s="16"/>
    </row>
    <row r="378" spans="12:16" x14ac:dyDescent="0.2">
      <c r="L378" s="16"/>
      <c r="M378" s="16"/>
      <c r="N378" s="16"/>
      <c r="O378" s="16"/>
      <c r="P378" s="16"/>
    </row>
    <row r="379" spans="12:16" x14ac:dyDescent="0.2">
      <c r="L379" s="16"/>
      <c r="M379" s="16"/>
      <c r="N379" s="16"/>
      <c r="O379" s="16"/>
      <c r="P379" s="16"/>
    </row>
    <row r="380" spans="12:16" x14ac:dyDescent="0.2">
      <c r="L380" s="16"/>
      <c r="M380" s="16"/>
      <c r="N380" s="16"/>
      <c r="O380" s="16"/>
      <c r="P380" s="16"/>
    </row>
    <row r="381" spans="12:16" x14ac:dyDescent="0.2">
      <c r="L381" s="16"/>
      <c r="M381" s="16"/>
      <c r="N381" s="16"/>
      <c r="O381" s="16"/>
      <c r="P381" s="16"/>
    </row>
    <row r="382" spans="12:16" x14ac:dyDescent="0.2">
      <c r="L382" s="16"/>
      <c r="M382" s="16"/>
      <c r="N382" s="16"/>
      <c r="O382" s="16"/>
      <c r="P382" s="16"/>
    </row>
    <row r="383" spans="12:16" x14ac:dyDescent="0.2">
      <c r="L383" s="16"/>
      <c r="M383" s="16"/>
      <c r="N383" s="16"/>
      <c r="O383" s="16"/>
      <c r="P383" s="16"/>
    </row>
    <row r="384" spans="12:16" x14ac:dyDescent="0.2">
      <c r="L384" s="16"/>
      <c r="M384" s="16"/>
      <c r="N384" s="16"/>
      <c r="O384" s="16"/>
      <c r="P384" s="16"/>
    </row>
    <row r="385" spans="12:16" x14ac:dyDescent="0.2">
      <c r="L385" s="16"/>
      <c r="M385" s="16"/>
      <c r="N385" s="16"/>
      <c r="O385" s="16"/>
      <c r="P385" s="16"/>
    </row>
    <row r="386" spans="12:16" x14ac:dyDescent="0.2">
      <c r="L386" s="16"/>
      <c r="M386" s="16"/>
      <c r="N386" s="16"/>
      <c r="O386" s="16"/>
      <c r="P386" s="16"/>
    </row>
    <row r="387" spans="12:16" x14ac:dyDescent="0.2">
      <c r="L387" s="16"/>
      <c r="M387" s="16"/>
      <c r="N387" s="16"/>
      <c r="O387" s="16"/>
      <c r="P387" s="16"/>
    </row>
    <row r="388" spans="12:16" x14ac:dyDescent="0.2">
      <c r="L388" s="16"/>
      <c r="M388" s="16"/>
      <c r="N388" s="16"/>
      <c r="O388" s="16"/>
      <c r="P388" s="16"/>
    </row>
    <row r="389" spans="12:16" x14ac:dyDescent="0.2">
      <c r="L389" s="16"/>
      <c r="M389" s="16"/>
      <c r="N389" s="16"/>
      <c r="O389" s="16"/>
      <c r="P389" s="16"/>
    </row>
    <row r="390" spans="12:16" x14ac:dyDescent="0.2">
      <c r="L390" s="16"/>
      <c r="M390" s="16"/>
      <c r="N390" s="16"/>
      <c r="O390" s="16"/>
      <c r="P390" s="16"/>
    </row>
    <row r="391" spans="12:16" x14ac:dyDescent="0.2">
      <c r="L391" s="16"/>
      <c r="M391" s="16"/>
      <c r="N391" s="16"/>
      <c r="O391" s="16"/>
      <c r="P391" s="16"/>
    </row>
    <row r="392" spans="12:16" x14ac:dyDescent="0.2">
      <c r="L392" s="16"/>
      <c r="M392" s="16"/>
      <c r="N392" s="16"/>
      <c r="O392" s="16"/>
      <c r="P392" s="16"/>
    </row>
    <row r="393" spans="12:16" x14ac:dyDescent="0.2">
      <c r="L393" s="16"/>
      <c r="M393" s="16"/>
      <c r="N393" s="16"/>
      <c r="O393" s="16"/>
      <c r="P393" s="16"/>
    </row>
    <row r="394" spans="12:16" x14ac:dyDescent="0.2">
      <c r="L394" s="16"/>
      <c r="M394" s="16"/>
      <c r="N394" s="16"/>
      <c r="O394" s="16"/>
      <c r="P394" s="16"/>
    </row>
    <row r="395" spans="12:16" x14ac:dyDescent="0.2">
      <c r="L395" s="16"/>
      <c r="M395" s="16"/>
      <c r="N395" s="16"/>
      <c r="O395" s="16"/>
      <c r="P395" s="16"/>
    </row>
    <row r="396" spans="12:16" x14ac:dyDescent="0.2">
      <c r="L396" s="16"/>
      <c r="M396" s="16"/>
      <c r="N396" s="16"/>
      <c r="O396" s="16"/>
      <c r="P396" s="16"/>
    </row>
    <row r="397" spans="12:16" x14ac:dyDescent="0.2">
      <c r="L397" s="16"/>
      <c r="M397" s="16"/>
      <c r="N397" s="16"/>
      <c r="O397" s="16"/>
      <c r="P397" s="16"/>
    </row>
    <row r="398" spans="12:16" x14ac:dyDescent="0.2">
      <c r="L398" s="16"/>
      <c r="M398" s="16"/>
      <c r="N398" s="16"/>
      <c r="O398" s="16"/>
      <c r="P398" s="16"/>
    </row>
    <row r="399" spans="12:16" x14ac:dyDescent="0.2">
      <c r="L399" s="16"/>
      <c r="M399" s="16"/>
      <c r="N399" s="16"/>
      <c r="O399" s="16"/>
      <c r="P399" s="16"/>
    </row>
    <row r="400" spans="12:16" x14ac:dyDescent="0.2">
      <c r="L400" s="16"/>
      <c r="M400" s="16"/>
      <c r="N400" s="16"/>
      <c r="O400" s="16"/>
      <c r="P400" s="16"/>
    </row>
    <row r="401" spans="12:16" x14ac:dyDescent="0.2">
      <c r="L401" s="16"/>
      <c r="M401" s="16"/>
      <c r="N401" s="16"/>
      <c r="O401" s="16"/>
      <c r="P401" s="16"/>
    </row>
    <row r="402" spans="12:16" x14ac:dyDescent="0.2">
      <c r="L402" s="16"/>
      <c r="M402" s="16"/>
      <c r="N402" s="16"/>
      <c r="O402" s="16"/>
      <c r="P402" s="16"/>
    </row>
    <row r="403" spans="12:16" x14ac:dyDescent="0.2">
      <c r="L403" s="16"/>
      <c r="M403" s="16"/>
      <c r="N403" s="16"/>
      <c r="O403" s="16"/>
      <c r="P403" s="16"/>
    </row>
    <row r="404" spans="12:16" x14ac:dyDescent="0.2">
      <c r="L404" s="16"/>
      <c r="M404" s="16"/>
      <c r="N404" s="16"/>
      <c r="O404" s="16"/>
      <c r="P404" s="16"/>
    </row>
    <row r="405" spans="12:16" x14ac:dyDescent="0.2">
      <c r="L405" s="16"/>
      <c r="M405" s="16"/>
      <c r="N405" s="16"/>
      <c r="O405" s="16"/>
      <c r="P405" s="16"/>
    </row>
    <row r="406" spans="12:16" x14ac:dyDescent="0.2">
      <c r="L406" s="16"/>
      <c r="M406" s="16"/>
      <c r="N406" s="16"/>
      <c r="O406" s="16"/>
      <c r="P406" s="16"/>
    </row>
    <row r="407" spans="12:16" x14ac:dyDescent="0.2">
      <c r="L407" s="16"/>
      <c r="M407" s="16"/>
      <c r="N407" s="16"/>
      <c r="O407" s="16"/>
      <c r="P407" s="16"/>
    </row>
    <row r="408" spans="12:16" x14ac:dyDescent="0.2">
      <c r="L408" s="16"/>
      <c r="M408" s="16"/>
      <c r="N408" s="16"/>
      <c r="O408" s="16"/>
      <c r="P408" s="16"/>
    </row>
    <row r="409" spans="12:16" x14ac:dyDescent="0.2">
      <c r="L409" s="16"/>
      <c r="M409" s="16"/>
      <c r="N409" s="16"/>
      <c r="O409" s="16"/>
      <c r="P409" s="16"/>
    </row>
    <row r="410" spans="12:16" x14ac:dyDescent="0.2">
      <c r="L410" s="16"/>
      <c r="M410" s="16"/>
      <c r="N410" s="16"/>
      <c r="O410" s="16"/>
      <c r="P410" s="16"/>
    </row>
    <row r="411" spans="12:16" x14ac:dyDescent="0.2">
      <c r="L411" s="16"/>
      <c r="M411" s="16"/>
      <c r="N411" s="16"/>
      <c r="O411" s="16"/>
      <c r="P411" s="16"/>
    </row>
    <row r="412" spans="12:16" x14ac:dyDescent="0.2">
      <c r="L412" s="16"/>
      <c r="M412" s="16"/>
      <c r="N412" s="16"/>
      <c r="O412" s="16"/>
      <c r="P412" s="16"/>
    </row>
    <row r="413" spans="12:16" x14ac:dyDescent="0.2">
      <c r="L413" s="16"/>
      <c r="M413" s="16"/>
      <c r="N413" s="16"/>
      <c r="O413" s="16"/>
      <c r="P413" s="16"/>
    </row>
    <row r="414" spans="12:16" x14ac:dyDescent="0.2">
      <c r="L414" s="16"/>
      <c r="M414" s="16"/>
      <c r="N414" s="16"/>
      <c r="O414" s="16"/>
      <c r="P414" s="16"/>
    </row>
    <row r="415" spans="12:16" x14ac:dyDescent="0.2">
      <c r="L415" s="16"/>
      <c r="M415" s="16"/>
      <c r="N415" s="16"/>
      <c r="O415" s="16"/>
      <c r="P415" s="16"/>
    </row>
    <row r="416" spans="12:16" x14ac:dyDescent="0.2">
      <c r="L416" s="16"/>
      <c r="M416" s="16"/>
      <c r="N416" s="16"/>
      <c r="O416" s="16"/>
      <c r="P416" s="16"/>
    </row>
    <row r="417" spans="12:16" x14ac:dyDescent="0.2">
      <c r="L417" s="16"/>
      <c r="M417" s="16"/>
      <c r="N417" s="16"/>
      <c r="O417" s="16"/>
      <c r="P417" s="16"/>
    </row>
    <row r="418" spans="12:16" x14ac:dyDescent="0.2">
      <c r="L418" s="16"/>
      <c r="M418" s="16"/>
      <c r="N418" s="16"/>
      <c r="O418" s="16"/>
      <c r="P418" s="16"/>
    </row>
    <row r="419" spans="12:16" x14ac:dyDescent="0.2">
      <c r="L419" s="16"/>
      <c r="M419" s="16"/>
      <c r="N419" s="16"/>
      <c r="O419" s="16"/>
      <c r="P419" s="16"/>
    </row>
    <row r="420" spans="12:16" x14ac:dyDescent="0.2">
      <c r="L420" s="16"/>
      <c r="M420" s="16"/>
      <c r="N420" s="16"/>
      <c r="O420" s="16"/>
      <c r="P420" s="16"/>
    </row>
    <row r="421" spans="12:16" x14ac:dyDescent="0.2">
      <c r="L421" s="16"/>
      <c r="M421" s="16"/>
      <c r="N421" s="16"/>
      <c r="O421" s="16"/>
      <c r="P421" s="16"/>
    </row>
    <row r="422" spans="12:16" x14ac:dyDescent="0.2">
      <c r="L422" s="16"/>
      <c r="M422" s="16"/>
      <c r="N422" s="16"/>
      <c r="O422" s="16"/>
      <c r="P422" s="16"/>
    </row>
    <row r="423" spans="12:16" x14ac:dyDescent="0.2">
      <c r="L423" s="16"/>
      <c r="M423" s="16"/>
      <c r="N423" s="16"/>
      <c r="O423" s="16"/>
      <c r="P423" s="16"/>
    </row>
    <row r="424" spans="12:16" x14ac:dyDescent="0.2">
      <c r="L424" s="16"/>
      <c r="M424" s="16"/>
      <c r="N424" s="16"/>
      <c r="O424" s="16"/>
      <c r="P424" s="16"/>
    </row>
    <row r="425" spans="12:16" x14ac:dyDescent="0.2">
      <c r="L425" s="16"/>
      <c r="M425" s="16"/>
      <c r="N425" s="16"/>
      <c r="O425" s="16"/>
      <c r="P425" s="16"/>
    </row>
    <row r="426" spans="12:16" x14ac:dyDescent="0.2">
      <c r="L426" s="16"/>
      <c r="M426" s="16"/>
      <c r="N426" s="16"/>
      <c r="O426" s="16"/>
      <c r="P426" s="16"/>
    </row>
    <row r="427" spans="12:16" x14ac:dyDescent="0.2">
      <c r="L427" s="16"/>
      <c r="M427" s="16"/>
      <c r="N427" s="16"/>
      <c r="O427" s="16"/>
      <c r="P427" s="16"/>
    </row>
    <row r="428" spans="12:16" x14ac:dyDescent="0.2">
      <c r="L428" s="16"/>
      <c r="M428" s="16"/>
      <c r="N428" s="16"/>
      <c r="O428" s="16"/>
      <c r="P428" s="16"/>
    </row>
    <row r="429" spans="12:16" x14ac:dyDescent="0.2">
      <c r="L429" s="16"/>
      <c r="M429" s="16"/>
      <c r="N429" s="16"/>
      <c r="O429" s="16"/>
      <c r="P429" s="16"/>
    </row>
    <row r="430" spans="12:16" x14ac:dyDescent="0.2">
      <c r="L430" s="16"/>
      <c r="M430" s="16"/>
      <c r="N430" s="16"/>
      <c r="O430" s="16"/>
      <c r="P430" s="16"/>
    </row>
    <row r="431" spans="12:16" x14ac:dyDescent="0.2">
      <c r="L431" s="16"/>
      <c r="M431" s="16"/>
      <c r="N431" s="16"/>
      <c r="O431" s="16"/>
      <c r="P431" s="16"/>
    </row>
    <row r="432" spans="12:16" x14ac:dyDescent="0.2">
      <c r="L432" s="16"/>
      <c r="M432" s="16"/>
      <c r="N432" s="16"/>
      <c r="O432" s="16"/>
      <c r="P432" s="16"/>
    </row>
    <row r="433" spans="12:16" x14ac:dyDescent="0.2">
      <c r="L433" s="16"/>
      <c r="M433" s="16"/>
      <c r="N433" s="16"/>
      <c r="O433" s="16"/>
      <c r="P433" s="16"/>
    </row>
    <row r="434" spans="12:16" x14ac:dyDescent="0.2">
      <c r="L434" s="16"/>
      <c r="M434" s="16"/>
      <c r="N434" s="16"/>
      <c r="O434" s="16"/>
      <c r="P434" s="16"/>
    </row>
    <row r="435" spans="12:16" x14ac:dyDescent="0.2">
      <c r="L435" s="16"/>
      <c r="M435" s="16"/>
      <c r="N435" s="16"/>
      <c r="O435" s="16"/>
      <c r="P435" s="16"/>
    </row>
    <row r="436" spans="12:16" x14ac:dyDescent="0.2">
      <c r="L436" s="16"/>
      <c r="M436" s="16"/>
      <c r="N436" s="16"/>
      <c r="O436" s="16"/>
      <c r="P436" s="16"/>
    </row>
    <row r="437" spans="12:16" x14ac:dyDescent="0.2">
      <c r="L437" s="16"/>
      <c r="M437" s="16"/>
      <c r="N437" s="16"/>
      <c r="O437" s="16"/>
      <c r="P437" s="16"/>
    </row>
    <row r="438" spans="12:16" x14ac:dyDescent="0.2">
      <c r="L438" s="16"/>
      <c r="M438" s="16"/>
      <c r="N438" s="16"/>
      <c r="O438" s="16"/>
      <c r="P438" s="16"/>
    </row>
    <row r="439" spans="12:16" x14ac:dyDescent="0.2">
      <c r="L439" s="16"/>
      <c r="M439" s="16"/>
      <c r="N439" s="16"/>
      <c r="O439" s="16"/>
      <c r="P439" s="16"/>
    </row>
    <row r="440" spans="12:16" x14ac:dyDescent="0.2">
      <c r="L440" s="16"/>
      <c r="M440" s="16"/>
      <c r="N440" s="16"/>
      <c r="O440" s="16"/>
      <c r="P440" s="16"/>
    </row>
    <row r="441" spans="12:16" x14ac:dyDescent="0.2">
      <c r="L441" s="16"/>
      <c r="M441" s="16"/>
      <c r="N441" s="16"/>
      <c r="O441" s="16"/>
      <c r="P441" s="16"/>
    </row>
    <row r="442" spans="12:16" x14ac:dyDescent="0.2">
      <c r="L442" s="16"/>
      <c r="M442" s="16"/>
      <c r="N442" s="16"/>
      <c r="O442" s="16"/>
      <c r="P442" s="16"/>
    </row>
    <row r="443" spans="12:16" x14ac:dyDescent="0.2">
      <c r="L443" s="16"/>
      <c r="M443" s="16"/>
      <c r="N443" s="16"/>
      <c r="O443" s="16"/>
      <c r="P443" s="16"/>
    </row>
    <row r="444" spans="12:16" x14ac:dyDescent="0.2">
      <c r="L444" s="16"/>
      <c r="M444" s="16"/>
      <c r="N444" s="16"/>
      <c r="O444" s="16"/>
      <c r="P444" s="16"/>
    </row>
    <row r="445" spans="12:16" x14ac:dyDescent="0.2">
      <c r="L445" s="16"/>
      <c r="M445" s="16"/>
      <c r="N445" s="16"/>
      <c r="O445" s="16"/>
      <c r="P445" s="16"/>
    </row>
    <row r="446" spans="12:16" x14ac:dyDescent="0.2">
      <c r="L446" s="16"/>
      <c r="M446" s="16"/>
      <c r="N446" s="16"/>
      <c r="O446" s="16"/>
      <c r="P446" s="16"/>
    </row>
    <row r="447" spans="12:16" x14ac:dyDescent="0.2">
      <c r="L447" s="16"/>
      <c r="M447" s="16"/>
      <c r="N447" s="16"/>
      <c r="O447" s="16"/>
      <c r="P447" s="16"/>
    </row>
    <row r="448" spans="12:16" x14ac:dyDescent="0.2">
      <c r="L448" s="16"/>
      <c r="M448" s="16"/>
      <c r="N448" s="16"/>
      <c r="O448" s="16"/>
      <c r="P448" s="16"/>
    </row>
    <row r="449" spans="12:16" x14ac:dyDescent="0.2">
      <c r="L449" s="16"/>
      <c r="M449" s="16"/>
      <c r="N449" s="16"/>
      <c r="O449" s="16"/>
      <c r="P449" s="16"/>
    </row>
    <row r="450" spans="12:16" x14ac:dyDescent="0.2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333399"/>
    <pageSetUpPr fitToPage="1"/>
  </sheetPr>
  <dimension ref="B2:AN450"/>
  <sheetViews>
    <sheetView zoomScale="90" zoomScaleNormal="90" workbookViewId="0">
      <selection activeCell="AG12" sqref="AG12"/>
    </sheetView>
  </sheetViews>
  <sheetFormatPr defaultRowHeight="12.75" x14ac:dyDescent="0.2"/>
  <cols>
    <col min="1" max="1" width="5.42578125" style="5" customWidth="1"/>
    <col min="2" max="2" width="8.85546875" style="6" hidden="1" customWidth="1"/>
    <col min="3" max="3" width="8.85546875" style="6" customWidth="1"/>
    <col min="4" max="4" width="22.42578125" style="5" customWidth="1"/>
    <col min="5" max="5" width="9.85546875" style="7" customWidth="1"/>
    <col min="6" max="6" width="13" style="46" customWidth="1"/>
    <col min="7" max="7" width="11.7109375" style="46" customWidth="1"/>
    <col min="8" max="20" width="8.85546875" style="7" hidden="1" customWidth="1"/>
    <col min="21" max="21" width="3.85546875" style="5" customWidth="1"/>
    <col min="22" max="22" width="19" style="5" customWidth="1"/>
    <col min="23" max="23" width="11" style="5" customWidth="1"/>
    <col min="24" max="25" width="9.85546875" style="5" customWidth="1"/>
    <col min="26" max="26" width="11.7109375" style="5" customWidth="1"/>
    <col min="27" max="27" width="4.140625" style="5" customWidth="1"/>
    <col min="28" max="47" width="6.42578125" style="5" customWidth="1"/>
    <col min="48" max="207" width="6.5703125" style="5" customWidth="1"/>
    <col min="208" max="16384" width="9.140625" style="5"/>
  </cols>
  <sheetData>
    <row r="2" spans="2:40" ht="33.75" x14ac:dyDescent="0.5">
      <c r="B2" s="4"/>
      <c r="C2" s="132" t="s">
        <v>57</v>
      </c>
      <c r="D2" s="4"/>
      <c r="V2" s="84" t="s">
        <v>44</v>
      </c>
      <c r="W2" s="84" t="s">
        <v>93</v>
      </c>
      <c r="X2" s="83"/>
    </row>
    <row r="3" spans="2:40" ht="16.5" x14ac:dyDescent="0.25">
      <c r="B3" s="75"/>
      <c r="C3" s="75" t="s">
        <v>50</v>
      </c>
      <c r="D3" s="75"/>
      <c r="E3" s="74"/>
      <c r="V3" s="85" t="s">
        <v>45</v>
      </c>
      <c r="W3" s="84" t="s">
        <v>49</v>
      </c>
      <c r="X3" s="82"/>
    </row>
    <row r="4" spans="2:40" x14ac:dyDescent="0.2">
      <c r="B4" s="73"/>
      <c r="C4" s="73"/>
      <c r="D4" s="73"/>
    </row>
    <row r="5" spans="2:40" s="8" customFormat="1" ht="21.75" customHeight="1" x14ac:dyDescent="0.2">
      <c r="B5" s="76"/>
      <c r="C5" s="76" t="s">
        <v>39</v>
      </c>
      <c r="D5" s="76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6" t="s">
        <v>38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 x14ac:dyDescent="0.2">
      <c r="B6" s="28" t="s">
        <v>51</v>
      </c>
      <c r="C6" s="28" t="s">
        <v>0</v>
      </c>
      <c r="D6" s="29" t="s">
        <v>19</v>
      </c>
      <c r="E6" s="47" t="s">
        <v>26</v>
      </c>
      <c r="F6" s="47" t="s">
        <v>27</v>
      </c>
      <c r="G6" s="47" t="s">
        <v>23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  <c r="M6" s="45" t="s">
        <v>13</v>
      </c>
      <c r="N6" s="45" t="s">
        <v>18</v>
      </c>
      <c r="O6" s="45" t="s">
        <v>1</v>
      </c>
      <c r="P6" s="45" t="s">
        <v>2</v>
      </c>
      <c r="Q6" s="45" t="s">
        <v>5</v>
      </c>
      <c r="R6" s="45" t="s">
        <v>6</v>
      </c>
      <c r="S6" s="45" t="s">
        <v>3</v>
      </c>
      <c r="T6" s="45" t="s">
        <v>4</v>
      </c>
      <c r="U6" s="5"/>
      <c r="V6" s="38" t="s">
        <v>29</v>
      </c>
      <c r="W6" s="39" t="s">
        <v>30</v>
      </c>
      <c r="X6" s="39" t="s">
        <v>26</v>
      </c>
      <c r="Y6" s="39" t="s">
        <v>27</v>
      </c>
      <c r="Z6" s="40" t="s">
        <v>29</v>
      </c>
      <c r="AA6" s="14"/>
      <c r="AB6" s="14"/>
      <c r="AC6" s="14"/>
    </row>
    <row r="7" spans="2:40" s="15" customFormat="1" ht="15.75" customHeight="1" x14ac:dyDescent="0.2">
      <c r="B7" s="89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3</v>
      </c>
      <c r="C7" s="89">
        <v>1</v>
      </c>
      <c r="D7" s="30" t="s">
        <v>62</v>
      </c>
      <c r="E7" s="88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88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62">
        <v>40</v>
      </c>
      <c r="H7" s="48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200</v>
      </c>
      <c r="I7" s="57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22.2</v>
      </c>
      <c r="J7" s="57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12</v>
      </c>
      <c r="K7" s="57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8.69</v>
      </c>
      <c r="L7" s="57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2.71</v>
      </c>
      <c r="M7" s="57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32.299999999999997</v>
      </c>
      <c r="N7" s="57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43.7</v>
      </c>
      <c r="O7" s="57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52.4</v>
      </c>
      <c r="P7" s="57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0.47499999999999998</v>
      </c>
      <c r="Q7" s="57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0.34699999999999998</v>
      </c>
      <c r="R7" s="57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</v>
      </c>
      <c r="S7" s="57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</v>
      </c>
      <c r="T7" s="57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</v>
      </c>
      <c r="U7" s="5"/>
      <c r="V7" s="31" t="s">
        <v>32</v>
      </c>
      <c r="W7" s="32" t="s">
        <v>23</v>
      </c>
      <c r="X7" s="106">
        <v>86</v>
      </c>
      <c r="Y7" s="107" t="s">
        <v>36</v>
      </c>
      <c r="Z7" s="33">
        <f>G45</f>
        <v>40.869</v>
      </c>
      <c r="AA7" s="14"/>
      <c r="AB7" s="14"/>
      <c r="AC7" s="14"/>
    </row>
    <row r="8" spans="2:40" s="15" customFormat="1" ht="15.75" customHeight="1" x14ac:dyDescent="0.2">
      <c r="B8" s="89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7</v>
      </c>
      <c r="C8" s="89">
        <v>2</v>
      </c>
      <c r="D8" s="30" t="s">
        <v>70</v>
      </c>
      <c r="E8" s="88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10</v>
      </c>
      <c r="F8" s="88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50</v>
      </c>
      <c r="G8" s="62">
        <v>15</v>
      </c>
      <c r="H8" s="48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3200</v>
      </c>
      <c r="I8" s="57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86.8</v>
      </c>
      <c r="J8" s="57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2.15</v>
      </c>
      <c r="K8" s="57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10.8</v>
      </c>
      <c r="L8" s="57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4.28</v>
      </c>
      <c r="M8" s="57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3.53</v>
      </c>
      <c r="N8" s="57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80.2</v>
      </c>
      <c r="O8" s="57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80.8</v>
      </c>
      <c r="P8" s="57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0.23400000000000001</v>
      </c>
      <c r="Q8" s="57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0.41399999999999998</v>
      </c>
      <c r="R8" s="57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</v>
      </c>
      <c r="S8" s="57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</v>
      </c>
      <c r="T8" s="57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</v>
      </c>
      <c r="U8" s="5"/>
      <c r="V8" s="31" t="s">
        <v>10</v>
      </c>
      <c r="W8" s="32" t="s">
        <v>23</v>
      </c>
      <c r="X8" s="108" t="s">
        <v>36</v>
      </c>
      <c r="Y8" s="107" t="s">
        <v>36</v>
      </c>
      <c r="Z8" s="33">
        <f>H45</f>
        <v>19.8445</v>
      </c>
      <c r="AA8" s="14"/>
      <c r="AB8" s="14"/>
      <c r="AC8" s="14"/>
    </row>
    <row r="9" spans="2:40" s="15" customFormat="1" ht="15.75" customHeight="1" x14ac:dyDescent="0.2">
      <c r="B9" s="89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22</v>
      </c>
      <c r="C9" s="89">
        <v>3</v>
      </c>
      <c r="D9" s="30" t="s">
        <v>72</v>
      </c>
      <c r="E9" s="88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8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30</v>
      </c>
      <c r="G9" s="62">
        <v>20</v>
      </c>
      <c r="H9" s="48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1000</v>
      </c>
      <c r="I9" s="57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14.6</v>
      </c>
      <c r="J9" s="57">
        <v>70</v>
      </c>
      <c r="K9" s="57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30.3</v>
      </c>
      <c r="L9" s="57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9.9</v>
      </c>
      <c r="M9" s="57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22.2</v>
      </c>
      <c r="N9" s="57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32.5</v>
      </c>
      <c r="O9" s="57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77.900000000000006</v>
      </c>
      <c r="P9" s="57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0.88200000000000001</v>
      </c>
      <c r="Q9" s="57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0.14099999999999999</v>
      </c>
      <c r="R9" s="57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</v>
      </c>
      <c r="S9" s="57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</v>
      </c>
      <c r="T9" s="57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</v>
      </c>
      <c r="U9" s="5"/>
      <c r="V9" s="31" t="s">
        <v>33</v>
      </c>
      <c r="W9" s="32" t="s">
        <v>23</v>
      </c>
      <c r="X9" s="106">
        <v>12</v>
      </c>
      <c r="Y9" s="109">
        <v>13</v>
      </c>
      <c r="Z9" s="34">
        <f>I45</f>
        <v>11.835599999999999</v>
      </c>
      <c r="AA9" s="14"/>
      <c r="AB9" s="14"/>
      <c r="AC9" s="14"/>
    </row>
    <row r="10" spans="2:40" s="15" customFormat="1" ht="15.75" customHeight="1" x14ac:dyDescent="0.2">
      <c r="B10" s="89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14</v>
      </c>
      <c r="C10" s="89">
        <v>4</v>
      </c>
      <c r="D10" s="30" t="s">
        <v>54</v>
      </c>
      <c r="E10" s="88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8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30</v>
      </c>
      <c r="G10" s="62">
        <v>10</v>
      </c>
      <c r="H10" s="48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3500</v>
      </c>
      <c r="I10" s="57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32.299999999999997</v>
      </c>
      <c r="J10" s="57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3.3</v>
      </c>
      <c r="K10" s="57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3.3</v>
      </c>
      <c r="L10" s="57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1.51</v>
      </c>
      <c r="M10" s="57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4.1500000000000004</v>
      </c>
      <c r="N10" s="57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87.7</v>
      </c>
      <c r="O10" s="57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81.8</v>
      </c>
      <c r="P10" s="57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0.26</v>
      </c>
      <c r="Q10" s="57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0.16</v>
      </c>
      <c r="R10" s="57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</v>
      </c>
      <c r="S10" s="57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0</v>
      </c>
      <c r="T10" s="57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</v>
      </c>
      <c r="U10" s="5"/>
      <c r="V10" s="31" t="s">
        <v>34</v>
      </c>
      <c r="W10" s="32" t="s">
        <v>23</v>
      </c>
      <c r="X10" s="108">
        <v>7</v>
      </c>
      <c r="Y10" s="107" t="s">
        <v>36</v>
      </c>
      <c r="Z10" s="34">
        <f>J45</f>
        <v>10.887920000000001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 x14ac:dyDescent="0.2">
      <c r="B11" s="89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89">
        <v>5</v>
      </c>
      <c r="D11" s="30" t="s">
        <v>64</v>
      </c>
      <c r="E11" s="88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8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40</v>
      </c>
      <c r="G11" s="62">
        <v>8</v>
      </c>
      <c r="H11" s="48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2000</v>
      </c>
      <c r="I11" s="57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79.8</v>
      </c>
      <c r="J11" s="57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2.4</v>
      </c>
      <c r="K11" s="57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1.87</v>
      </c>
      <c r="L11" s="57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0.32400000000000001</v>
      </c>
      <c r="M11" s="57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8.9</v>
      </c>
      <c r="N11" s="57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86.5</v>
      </c>
      <c r="O11" s="57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78.3</v>
      </c>
      <c r="P11" s="57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0.26</v>
      </c>
      <c r="Q11" s="57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0.16</v>
      </c>
      <c r="R11" s="57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</v>
      </c>
      <c r="S11" s="57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</v>
      </c>
      <c r="T11" s="57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0</v>
      </c>
      <c r="U11" s="5"/>
      <c r="V11" s="31" t="s">
        <v>35</v>
      </c>
      <c r="W11" s="32" t="s">
        <v>23</v>
      </c>
      <c r="X11" s="108" t="s">
        <v>36</v>
      </c>
      <c r="Y11" s="109">
        <v>21</v>
      </c>
      <c r="Z11" s="35">
        <f>K45</f>
        <v>19.066500000000001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 x14ac:dyDescent="0.2">
      <c r="B12" s="89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25</v>
      </c>
      <c r="C12" s="89">
        <v>6</v>
      </c>
      <c r="D12" s="30" t="s">
        <v>85</v>
      </c>
      <c r="E12" s="88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5</v>
      </c>
      <c r="F12" s="88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7</v>
      </c>
      <c r="G12" s="62">
        <v>5</v>
      </c>
      <c r="H12" s="48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2000</v>
      </c>
      <c r="I12" s="57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70.89</v>
      </c>
      <c r="J12" s="57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</v>
      </c>
      <c r="K12" s="57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4</v>
      </c>
      <c r="L12" s="57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0.1</v>
      </c>
      <c r="M12" s="57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</v>
      </c>
      <c r="N12" s="57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90.9</v>
      </c>
      <c r="O12" s="57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80</v>
      </c>
      <c r="P12" s="57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0.8</v>
      </c>
      <c r="Q12" s="57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</v>
      </c>
      <c r="R12" s="57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</v>
      </c>
      <c r="S12" s="57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0</v>
      </c>
      <c r="T12" s="57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0</v>
      </c>
      <c r="U12" s="5"/>
      <c r="V12" s="31" t="s">
        <v>18</v>
      </c>
      <c r="W12" s="32" t="s">
        <v>23</v>
      </c>
      <c r="X12" s="108" t="s">
        <v>36</v>
      </c>
      <c r="Y12" s="107" t="s">
        <v>36</v>
      </c>
      <c r="Z12" s="35">
        <f>L45</f>
        <v>56.245000000000005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 x14ac:dyDescent="0.2">
      <c r="B13" s="89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26</v>
      </c>
      <c r="C13" s="89">
        <v>7</v>
      </c>
      <c r="D13" s="30" t="s">
        <v>86</v>
      </c>
      <c r="E13" s="88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0.25</v>
      </c>
      <c r="F13" s="88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1</v>
      </c>
      <c r="G13" s="62">
        <v>0.5</v>
      </c>
      <c r="H13" s="48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1500</v>
      </c>
      <c r="I13" s="57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99.6</v>
      </c>
      <c r="J13" s="57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0</v>
      </c>
      <c r="K13" s="57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0</v>
      </c>
      <c r="L13" s="57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</v>
      </c>
      <c r="M13" s="57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0</v>
      </c>
      <c r="N13" s="57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0</v>
      </c>
      <c r="O13" s="57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0</v>
      </c>
      <c r="P13" s="57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</v>
      </c>
      <c r="Q13" s="57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7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0</v>
      </c>
      <c r="S13" s="57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0</v>
      </c>
      <c r="T13" s="57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</v>
      </c>
      <c r="U13" s="5"/>
      <c r="V13" s="31" t="s">
        <v>75</v>
      </c>
      <c r="W13" s="32" t="s">
        <v>23</v>
      </c>
      <c r="X13" s="108">
        <v>65</v>
      </c>
      <c r="Y13" s="107">
        <v>67</v>
      </c>
      <c r="Z13" s="36">
        <f>M45</f>
        <v>67.103999999999999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 x14ac:dyDescent="0.2">
      <c r="B14" s="89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27</v>
      </c>
      <c r="C14" s="89">
        <v>8</v>
      </c>
      <c r="D14" s="30" t="s">
        <v>17</v>
      </c>
      <c r="E14" s="88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88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</v>
      </c>
      <c r="G14" s="62">
        <v>1</v>
      </c>
      <c r="H14" s="48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500</v>
      </c>
      <c r="I14" s="57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99</v>
      </c>
      <c r="J14" s="57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0</v>
      </c>
      <c r="K14" s="57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0</v>
      </c>
      <c r="L14" s="57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0</v>
      </c>
      <c r="M14" s="57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</v>
      </c>
      <c r="N14" s="57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0</v>
      </c>
      <c r="O14" s="57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0</v>
      </c>
      <c r="P14" s="57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38</v>
      </c>
      <c r="Q14" s="57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</v>
      </c>
      <c r="R14" s="57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0</v>
      </c>
      <c r="S14" s="57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0</v>
      </c>
      <c r="T14" s="57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0</v>
      </c>
      <c r="U14" s="5"/>
      <c r="V14" s="31" t="s">
        <v>41</v>
      </c>
      <c r="W14" s="32" t="s">
        <v>23</v>
      </c>
      <c r="X14" s="110">
        <v>0.8</v>
      </c>
      <c r="Y14" s="111">
        <v>1</v>
      </c>
      <c r="Z14" s="37">
        <f>N45</f>
        <v>1.2090999999999998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 x14ac:dyDescent="0.2">
      <c r="B15" s="89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29</v>
      </c>
      <c r="C15" s="89">
        <v>9</v>
      </c>
      <c r="D15" s="30" t="s">
        <v>88</v>
      </c>
      <c r="E15" s="88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0</v>
      </c>
      <c r="F15" s="88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2</v>
      </c>
      <c r="G15" s="62">
        <v>1.5</v>
      </c>
      <c r="H15" s="48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20000</v>
      </c>
      <c r="I15" s="57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93.5</v>
      </c>
      <c r="J15" s="57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</v>
      </c>
      <c r="K15" s="57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57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</v>
      </c>
      <c r="M15" s="57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57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57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0</v>
      </c>
      <c r="P15" s="57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22.72</v>
      </c>
      <c r="Q15" s="57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17.68</v>
      </c>
      <c r="R15" s="57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57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57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5"/>
      <c r="V15" s="31" t="s">
        <v>79</v>
      </c>
      <c r="W15" s="32" t="s">
        <v>23</v>
      </c>
      <c r="X15" s="108">
        <v>0.6</v>
      </c>
      <c r="Y15" s="107">
        <v>0.8</v>
      </c>
      <c r="Z15" s="37">
        <f>O45</f>
        <v>0.5230999999999999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 x14ac:dyDescent="0.2">
      <c r="B16" s="89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33</v>
      </c>
      <c r="C16" s="89">
        <v>10</v>
      </c>
      <c r="D16" s="30"/>
      <c r="E16" s="88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88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</v>
      </c>
      <c r="G16" s="62"/>
      <c r="H16" s="48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0</v>
      </c>
      <c r="I16" s="57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0</v>
      </c>
      <c r="J16" s="57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7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7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7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7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7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7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57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7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57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57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5"/>
      <c r="V16" s="78" t="s">
        <v>37</v>
      </c>
      <c r="W16" s="79" t="s">
        <v>31</v>
      </c>
      <c r="X16" s="77">
        <f>F45</f>
        <v>1682.5</v>
      </c>
      <c r="Y16" s="79"/>
      <c r="Z16" s="79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 x14ac:dyDescent="0.2">
      <c r="B17" s="89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33</v>
      </c>
      <c r="C17" s="89">
        <v>11</v>
      </c>
      <c r="D17" s="30"/>
      <c r="E17" s="88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8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0</v>
      </c>
      <c r="G17" s="62"/>
      <c r="H17" s="48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57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57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7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7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7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7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7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7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57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57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57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57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5"/>
      <c r="V17" s="81">
        <f ca="1">NOW()</f>
        <v>42090.979192476851</v>
      </c>
      <c r="W17" s="80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 x14ac:dyDescent="0.2">
      <c r="B18" s="89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33</v>
      </c>
      <c r="C18" s="89">
        <v>12</v>
      </c>
      <c r="D18" s="30"/>
      <c r="E18" s="88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8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62"/>
      <c r="H18" s="48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7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7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7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7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7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7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7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7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7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7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0</v>
      </c>
      <c r="S18" s="57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57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 x14ac:dyDescent="0.2">
      <c r="B19" s="89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33</v>
      </c>
      <c r="C19" s="89">
        <v>13</v>
      </c>
      <c r="D19" s="30"/>
      <c r="E19" s="88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8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62"/>
      <c r="H19" s="48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7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7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7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7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7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7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7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7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7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7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57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0</v>
      </c>
      <c r="T19" s="57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 x14ac:dyDescent="0.2">
      <c r="B20" s="89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33</v>
      </c>
      <c r="C20" s="89">
        <v>14</v>
      </c>
      <c r="D20" s="30"/>
      <c r="E20" s="88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8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62"/>
      <c r="H20" s="48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7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7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7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7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7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7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7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7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7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7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57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57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0</v>
      </c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 x14ac:dyDescent="0.2">
      <c r="B21" s="89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89">
        <v>15</v>
      </c>
      <c r="D21" s="30"/>
      <c r="E21" s="88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8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62"/>
      <c r="H21" s="48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7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7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7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7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7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7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7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7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7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7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57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57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 x14ac:dyDescent="0.2">
      <c r="B22" s="41"/>
      <c r="C22" s="41"/>
      <c r="D22" s="42"/>
      <c r="E22" s="50"/>
      <c r="F22" s="50"/>
      <c r="G22" s="43">
        <f>E45</f>
        <v>101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 x14ac:dyDescent="0.2">
      <c r="B23" s="44"/>
      <c r="C23" s="44"/>
      <c r="D23" s="19"/>
      <c r="E23" s="51"/>
      <c r="F23" s="51"/>
      <c r="G23" s="51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 x14ac:dyDescent="0.2">
      <c r="B24" s="44"/>
      <c r="C24" s="44"/>
      <c r="D24" s="19"/>
      <c r="E24" s="51"/>
      <c r="F24" s="51"/>
      <c r="G24" s="51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x14ac:dyDescent="0.2">
      <c r="B25" s="23"/>
      <c r="C25" s="23"/>
      <c r="D25" s="19"/>
      <c r="E25" s="51"/>
      <c r="F25" s="51"/>
      <c r="G25" s="51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 x14ac:dyDescent="0.2">
      <c r="B26" s="23"/>
      <c r="C26" s="23"/>
      <c r="D26" s="19"/>
      <c r="E26" s="51"/>
      <c r="F26" s="51"/>
      <c r="G26" s="51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.25" hidden="1" x14ac:dyDescent="0.3">
      <c r="B27" s="24"/>
      <c r="C27" s="24" t="s">
        <v>40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 x14ac:dyDescent="0.2">
      <c r="B28" s="58" t="s">
        <v>51</v>
      </c>
      <c r="C28" s="58" t="s">
        <v>0</v>
      </c>
      <c r="D28" s="59" t="s">
        <v>19</v>
      </c>
      <c r="E28" s="60" t="s">
        <v>23</v>
      </c>
      <c r="F28" s="60" t="s">
        <v>8</v>
      </c>
      <c r="G28" s="60" t="s">
        <v>9</v>
      </c>
      <c r="H28" s="60" t="s">
        <v>10</v>
      </c>
      <c r="I28" s="60" t="s">
        <v>11</v>
      </c>
      <c r="J28" s="60" t="s">
        <v>12</v>
      </c>
      <c r="K28" s="60" t="s">
        <v>13</v>
      </c>
      <c r="L28" s="60" t="s">
        <v>18</v>
      </c>
      <c r="M28" s="60" t="s">
        <v>1</v>
      </c>
      <c r="N28" s="60" t="s">
        <v>2</v>
      </c>
      <c r="O28" s="60" t="s">
        <v>5</v>
      </c>
      <c r="P28" s="60" t="s">
        <v>6</v>
      </c>
      <c r="Q28" s="60" t="s">
        <v>3</v>
      </c>
      <c r="R28" s="60" t="s">
        <v>4</v>
      </c>
      <c r="S28" s="60" t="s">
        <v>21</v>
      </c>
      <c r="T28" s="60" t="s">
        <v>22</v>
      </c>
      <c r="V28" s="19"/>
      <c r="W28" s="19"/>
      <c r="X28" s="19"/>
    </row>
    <row r="29" spans="2:40" s="15" customFormat="1" ht="16.5" hidden="1" customHeight="1" x14ac:dyDescent="0.2">
      <c r="B29" s="32">
        <f>B7</f>
        <v>3</v>
      </c>
      <c r="C29" s="32">
        <v>1</v>
      </c>
      <c r="D29" s="61" t="str">
        <f>D7</f>
        <v>Rumput Gajah</v>
      </c>
      <c r="F29" s="63">
        <f t="shared" ref="F29:F43" si="0">$G7/100*H7</f>
        <v>80</v>
      </c>
      <c r="G29" s="63">
        <f t="shared" ref="G29:G43" si="1">$G7/100*I7</f>
        <v>8.8800000000000008</v>
      </c>
      <c r="H29" s="63">
        <f t="shared" ref="H29:H43" si="2">$G7/100*J7</f>
        <v>4.8000000000000007</v>
      </c>
      <c r="I29" s="63">
        <f t="shared" ref="I29:I43" si="3">$G7/100*K7</f>
        <v>3.476</v>
      </c>
      <c r="J29" s="63">
        <f t="shared" ref="J29:J43" si="4">$G7/100*L7</f>
        <v>1.0840000000000001</v>
      </c>
      <c r="K29" s="63">
        <f t="shared" ref="K29:K43" si="5">$G7/100*M7</f>
        <v>12.92</v>
      </c>
      <c r="L29" s="63">
        <f t="shared" ref="L29:L43" si="6">$G7/100*N7</f>
        <v>17.48</v>
      </c>
      <c r="M29" s="63">
        <f t="shared" ref="M29:M43" si="7">$G7/100*O7</f>
        <v>20.96</v>
      </c>
      <c r="N29" s="63">
        <f t="shared" ref="N29:N43" si="8">$G7/100*P7</f>
        <v>0.19</v>
      </c>
      <c r="O29" s="63">
        <f t="shared" ref="O29:O43" si="9">$G7/100*Q7</f>
        <v>0.13880000000000001</v>
      </c>
      <c r="P29" s="63">
        <f t="shared" ref="P29:P43" si="10">$G7/100*R7</f>
        <v>0</v>
      </c>
      <c r="Q29" s="63">
        <f t="shared" ref="Q29:Q43" si="11">$G7/100*S7</f>
        <v>0</v>
      </c>
      <c r="R29" s="63">
        <f t="shared" ref="R29:R43" si="12">$G7/100*T7</f>
        <v>0</v>
      </c>
      <c r="S29" s="63">
        <f t="shared" ref="S29:T43" si="13">E7</f>
        <v>0</v>
      </c>
      <c r="T29" s="64">
        <f t="shared" si="13"/>
        <v>50</v>
      </c>
      <c r="V29" s="19"/>
      <c r="W29" s="19"/>
      <c r="X29" s="19"/>
    </row>
    <row r="30" spans="2:40" s="15" customFormat="1" ht="16.5" hidden="1" customHeight="1" x14ac:dyDescent="0.2">
      <c r="B30" s="32">
        <f t="shared" ref="B30:D43" si="14">B8</f>
        <v>7</v>
      </c>
      <c r="C30" s="32">
        <v>2</v>
      </c>
      <c r="D30" s="61" t="str">
        <f t="shared" si="14"/>
        <v>Jagung</v>
      </c>
      <c r="F30" s="63">
        <f t="shared" si="0"/>
        <v>480</v>
      </c>
      <c r="G30" s="63">
        <f t="shared" si="1"/>
        <v>13.02</v>
      </c>
      <c r="H30" s="63">
        <f t="shared" si="2"/>
        <v>0.32249999999999995</v>
      </c>
      <c r="I30" s="63">
        <f t="shared" si="3"/>
        <v>1.62</v>
      </c>
      <c r="J30" s="63">
        <f t="shared" si="4"/>
        <v>0.64200000000000002</v>
      </c>
      <c r="K30" s="63">
        <f t="shared" si="5"/>
        <v>0.52949999999999997</v>
      </c>
      <c r="L30" s="63">
        <f t="shared" si="6"/>
        <v>12.03</v>
      </c>
      <c r="M30" s="63">
        <f t="shared" si="7"/>
        <v>12.12</v>
      </c>
      <c r="N30" s="63">
        <f t="shared" si="8"/>
        <v>3.5099999999999999E-2</v>
      </c>
      <c r="O30" s="63">
        <f t="shared" si="9"/>
        <v>6.2099999999999995E-2</v>
      </c>
      <c r="P30" s="63">
        <f t="shared" si="10"/>
        <v>0</v>
      </c>
      <c r="Q30" s="63">
        <f t="shared" si="11"/>
        <v>0</v>
      </c>
      <c r="R30" s="63">
        <f t="shared" si="12"/>
        <v>0</v>
      </c>
      <c r="S30" s="63">
        <f t="shared" si="13"/>
        <v>10</v>
      </c>
      <c r="T30" s="64">
        <f t="shared" si="13"/>
        <v>50</v>
      </c>
      <c r="V30" s="19"/>
      <c r="W30" s="19"/>
      <c r="X30" s="19"/>
    </row>
    <row r="31" spans="2:40" s="15" customFormat="1" ht="16.5" hidden="1" customHeight="1" x14ac:dyDescent="0.2">
      <c r="B31" s="32">
        <f t="shared" si="14"/>
        <v>22</v>
      </c>
      <c r="C31" s="32">
        <v>3</v>
      </c>
      <c r="D31" s="61" t="str">
        <f t="shared" si="14"/>
        <v>Ampas Tahu</v>
      </c>
      <c r="F31" s="63">
        <f t="shared" si="0"/>
        <v>200</v>
      </c>
      <c r="G31" s="63">
        <f t="shared" si="1"/>
        <v>2.92</v>
      </c>
      <c r="H31" s="63">
        <f t="shared" si="2"/>
        <v>14</v>
      </c>
      <c r="I31" s="63">
        <f t="shared" si="3"/>
        <v>6.0600000000000005</v>
      </c>
      <c r="J31" s="63">
        <f t="shared" si="4"/>
        <v>1.9800000000000002</v>
      </c>
      <c r="K31" s="63">
        <f t="shared" si="5"/>
        <v>4.4400000000000004</v>
      </c>
      <c r="L31" s="63">
        <f t="shared" si="6"/>
        <v>6.5</v>
      </c>
      <c r="M31" s="63">
        <f t="shared" si="7"/>
        <v>15.580000000000002</v>
      </c>
      <c r="N31" s="63">
        <f t="shared" si="8"/>
        <v>0.1764</v>
      </c>
      <c r="O31" s="63">
        <f t="shared" si="9"/>
        <v>2.8199999999999999E-2</v>
      </c>
      <c r="P31" s="63">
        <f t="shared" si="10"/>
        <v>0</v>
      </c>
      <c r="Q31" s="63">
        <f t="shared" si="11"/>
        <v>0</v>
      </c>
      <c r="R31" s="63">
        <f t="shared" si="12"/>
        <v>0</v>
      </c>
      <c r="S31" s="63">
        <f t="shared" si="13"/>
        <v>0</v>
      </c>
      <c r="T31" s="64">
        <f t="shared" si="13"/>
        <v>30</v>
      </c>
      <c r="V31" s="19"/>
      <c r="W31" s="19"/>
      <c r="X31" s="19"/>
    </row>
    <row r="32" spans="2:40" s="15" customFormat="1" ht="16.5" hidden="1" customHeight="1" x14ac:dyDescent="0.2">
      <c r="B32" s="32">
        <f t="shared" si="14"/>
        <v>14</v>
      </c>
      <c r="C32" s="32">
        <v>4</v>
      </c>
      <c r="D32" s="61" t="str">
        <f t="shared" si="14"/>
        <v>Singkong</v>
      </c>
      <c r="F32" s="63">
        <f t="shared" si="0"/>
        <v>350</v>
      </c>
      <c r="G32" s="63">
        <f t="shared" si="1"/>
        <v>3.23</v>
      </c>
      <c r="H32" s="63">
        <f t="shared" si="2"/>
        <v>0.33</v>
      </c>
      <c r="I32" s="63">
        <f t="shared" si="3"/>
        <v>0.33</v>
      </c>
      <c r="J32" s="63">
        <f t="shared" si="4"/>
        <v>0.15100000000000002</v>
      </c>
      <c r="K32" s="63">
        <f t="shared" si="5"/>
        <v>0.41500000000000004</v>
      </c>
      <c r="L32" s="63">
        <f t="shared" si="6"/>
        <v>8.7700000000000014</v>
      </c>
      <c r="M32" s="63">
        <f t="shared" si="7"/>
        <v>8.18</v>
      </c>
      <c r="N32" s="63">
        <f t="shared" si="8"/>
        <v>2.6000000000000002E-2</v>
      </c>
      <c r="O32" s="63">
        <f t="shared" si="9"/>
        <v>1.6E-2</v>
      </c>
      <c r="P32" s="63">
        <f t="shared" si="10"/>
        <v>0</v>
      </c>
      <c r="Q32" s="63">
        <f t="shared" si="11"/>
        <v>0</v>
      </c>
      <c r="R32" s="63">
        <f t="shared" si="12"/>
        <v>0</v>
      </c>
      <c r="S32" s="63">
        <f t="shared" si="13"/>
        <v>0</v>
      </c>
      <c r="T32" s="64">
        <f t="shared" si="13"/>
        <v>30</v>
      </c>
      <c r="V32" s="19"/>
      <c r="W32" s="19"/>
      <c r="X32" s="19"/>
    </row>
    <row r="33" spans="2:24" s="15" customFormat="1" ht="16.5" hidden="1" customHeight="1" x14ac:dyDescent="0.2">
      <c r="B33" s="32">
        <f t="shared" si="14"/>
        <v>11</v>
      </c>
      <c r="C33" s="32">
        <v>5</v>
      </c>
      <c r="D33" s="61" t="str">
        <f t="shared" si="14"/>
        <v>Onggok</v>
      </c>
      <c r="F33" s="63">
        <f t="shared" si="0"/>
        <v>160</v>
      </c>
      <c r="G33" s="63">
        <f t="shared" si="1"/>
        <v>6.3840000000000003</v>
      </c>
      <c r="H33" s="63">
        <f t="shared" si="2"/>
        <v>0.192</v>
      </c>
      <c r="I33" s="63">
        <f t="shared" si="3"/>
        <v>0.14960000000000001</v>
      </c>
      <c r="J33" s="63">
        <f t="shared" si="4"/>
        <v>2.5920000000000002E-2</v>
      </c>
      <c r="K33" s="63">
        <f t="shared" si="5"/>
        <v>0.71200000000000008</v>
      </c>
      <c r="L33" s="63">
        <f t="shared" si="6"/>
        <v>6.92</v>
      </c>
      <c r="M33" s="63">
        <f t="shared" si="7"/>
        <v>6.2640000000000002</v>
      </c>
      <c r="N33" s="63">
        <f t="shared" si="8"/>
        <v>2.0800000000000003E-2</v>
      </c>
      <c r="O33" s="63">
        <f t="shared" si="9"/>
        <v>1.2800000000000001E-2</v>
      </c>
      <c r="P33" s="63">
        <f t="shared" si="10"/>
        <v>0</v>
      </c>
      <c r="Q33" s="63">
        <f t="shared" si="11"/>
        <v>0</v>
      </c>
      <c r="R33" s="63">
        <f t="shared" si="12"/>
        <v>0</v>
      </c>
      <c r="S33" s="63">
        <f t="shared" si="13"/>
        <v>0</v>
      </c>
      <c r="T33" s="64">
        <f t="shared" si="13"/>
        <v>40</v>
      </c>
      <c r="V33" s="19"/>
      <c r="W33" s="19"/>
      <c r="X33" s="19"/>
    </row>
    <row r="34" spans="2:24" s="15" customFormat="1" ht="16.5" hidden="1" customHeight="1" x14ac:dyDescent="0.2">
      <c r="B34" s="32">
        <f t="shared" si="14"/>
        <v>25</v>
      </c>
      <c r="C34" s="32">
        <v>6</v>
      </c>
      <c r="D34" s="61" t="str">
        <f t="shared" si="14"/>
        <v>Molases</v>
      </c>
      <c r="F34" s="63">
        <f t="shared" si="0"/>
        <v>100</v>
      </c>
      <c r="G34" s="63">
        <f t="shared" si="1"/>
        <v>3.5445000000000002</v>
      </c>
      <c r="H34" s="63">
        <f t="shared" si="2"/>
        <v>0.2</v>
      </c>
      <c r="I34" s="63">
        <f t="shared" si="3"/>
        <v>0.2</v>
      </c>
      <c r="J34" s="63">
        <f t="shared" si="4"/>
        <v>5.000000000000001E-3</v>
      </c>
      <c r="K34" s="63">
        <f t="shared" si="5"/>
        <v>0.05</v>
      </c>
      <c r="L34" s="63">
        <f t="shared" si="6"/>
        <v>4.5450000000000008</v>
      </c>
      <c r="M34" s="63">
        <f t="shared" si="7"/>
        <v>4</v>
      </c>
      <c r="N34" s="63">
        <f t="shared" si="8"/>
        <v>4.0000000000000008E-2</v>
      </c>
      <c r="O34" s="63">
        <f t="shared" si="9"/>
        <v>0</v>
      </c>
      <c r="P34" s="63">
        <f t="shared" si="10"/>
        <v>0</v>
      </c>
      <c r="Q34" s="63">
        <f t="shared" si="11"/>
        <v>0</v>
      </c>
      <c r="R34" s="63">
        <f t="shared" si="12"/>
        <v>0</v>
      </c>
      <c r="S34" s="63">
        <f t="shared" si="13"/>
        <v>5</v>
      </c>
      <c r="T34" s="64">
        <f t="shared" si="13"/>
        <v>7</v>
      </c>
      <c r="V34" s="19"/>
      <c r="W34" s="19"/>
      <c r="X34" s="19"/>
    </row>
    <row r="35" spans="2:24" s="15" customFormat="1" ht="16.5" hidden="1" customHeight="1" x14ac:dyDescent="0.2">
      <c r="B35" s="32">
        <f t="shared" si="14"/>
        <v>26</v>
      </c>
      <c r="C35" s="32">
        <v>7</v>
      </c>
      <c r="D35" s="61" t="str">
        <f t="shared" si="14"/>
        <v>Garam</v>
      </c>
      <c r="F35" s="63">
        <f t="shared" si="0"/>
        <v>7.5</v>
      </c>
      <c r="G35" s="63">
        <f t="shared" si="1"/>
        <v>0.498</v>
      </c>
      <c r="H35" s="63">
        <f t="shared" si="2"/>
        <v>0</v>
      </c>
      <c r="I35" s="63">
        <f t="shared" si="3"/>
        <v>0</v>
      </c>
      <c r="J35" s="63">
        <f t="shared" si="4"/>
        <v>0</v>
      </c>
      <c r="K35" s="63">
        <f t="shared" si="5"/>
        <v>0</v>
      </c>
      <c r="L35" s="63">
        <f t="shared" si="6"/>
        <v>0</v>
      </c>
      <c r="M35" s="63">
        <f t="shared" si="7"/>
        <v>0</v>
      </c>
      <c r="N35" s="63">
        <f t="shared" si="8"/>
        <v>0</v>
      </c>
      <c r="O35" s="63">
        <f t="shared" si="9"/>
        <v>0</v>
      </c>
      <c r="P35" s="63">
        <f t="shared" si="10"/>
        <v>0</v>
      </c>
      <c r="Q35" s="63">
        <f t="shared" si="11"/>
        <v>0</v>
      </c>
      <c r="R35" s="63">
        <f t="shared" si="12"/>
        <v>0</v>
      </c>
      <c r="S35" s="63">
        <f t="shared" si="13"/>
        <v>0.25</v>
      </c>
      <c r="T35" s="64">
        <f t="shared" si="13"/>
        <v>1</v>
      </c>
      <c r="V35" s="19"/>
      <c r="W35" s="19"/>
      <c r="X35" s="19"/>
    </row>
    <row r="36" spans="2:24" s="15" customFormat="1" ht="16.5" hidden="1" customHeight="1" x14ac:dyDescent="0.2">
      <c r="B36" s="32">
        <f t="shared" si="14"/>
        <v>27</v>
      </c>
      <c r="C36" s="32">
        <v>8</v>
      </c>
      <c r="D36" s="61" t="str">
        <f t="shared" si="14"/>
        <v>Kapur</v>
      </c>
      <c r="F36" s="63">
        <f t="shared" si="0"/>
        <v>5</v>
      </c>
      <c r="G36" s="63">
        <f t="shared" si="1"/>
        <v>0.99</v>
      </c>
      <c r="H36" s="63">
        <f t="shared" si="2"/>
        <v>0</v>
      </c>
      <c r="I36" s="63">
        <f t="shared" si="3"/>
        <v>0</v>
      </c>
      <c r="J36" s="63">
        <f t="shared" si="4"/>
        <v>0</v>
      </c>
      <c r="K36" s="63">
        <f t="shared" si="5"/>
        <v>0</v>
      </c>
      <c r="L36" s="63">
        <f t="shared" si="6"/>
        <v>0</v>
      </c>
      <c r="M36" s="63">
        <f t="shared" si="7"/>
        <v>0</v>
      </c>
      <c r="N36" s="63">
        <f t="shared" si="8"/>
        <v>0.38</v>
      </c>
      <c r="O36" s="63">
        <f t="shared" si="9"/>
        <v>0</v>
      </c>
      <c r="P36" s="63">
        <f t="shared" si="10"/>
        <v>0</v>
      </c>
      <c r="Q36" s="63">
        <f t="shared" si="11"/>
        <v>0</v>
      </c>
      <c r="R36" s="63">
        <f t="shared" si="12"/>
        <v>0</v>
      </c>
      <c r="S36" s="63">
        <f t="shared" si="13"/>
        <v>0</v>
      </c>
      <c r="T36" s="64">
        <f t="shared" si="13"/>
        <v>2</v>
      </c>
      <c r="V36" s="19"/>
      <c r="W36" s="19"/>
      <c r="X36" s="19"/>
    </row>
    <row r="37" spans="2:24" s="15" customFormat="1" ht="16.5" hidden="1" customHeight="1" x14ac:dyDescent="0.2">
      <c r="B37" s="32">
        <f t="shared" si="14"/>
        <v>29</v>
      </c>
      <c r="C37" s="32">
        <v>9</v>
      </c>
      <c r="D37" s="61" t="str">
        <f t="shared" si="14"/>
        <v>DCP</v>
      </c>
      <c r="F37" s="63">
        <f t="shared" si="0"/>
        <v>300</v>
      </c>
      <c r="G37" s="63">
        <f t="shared" si="1"/>
        <v>1.4024999999999999</v>
      </c>
      <c r="H37" s="63">
        <f t="shared" si="2"/>
        <v>0</v>
      </c>
      <c r="I37" s="63">
        <f t="shared" si="3"/>
        <v>0</v>
      </c>
      <c r="J37" s="63">
        <f t="shared" si="4"/>
        <v>0</v>
      </c>
      <c r="K37" s="63">
        <f t="shared" si="5"/>
        <v>0</v>
      </c>
      <c r="L37" s="63">
        <f t="shared" si="6"/>
        <v>0</v>
      </c>
      <c r="M37" s="63">
        <f t="shared" si="7"/>
        <v>0</v>
      </c>
      <c r="N37" s="63">
        <f t="shared" si="8"/>
        <v>0.34079999999999999</v>
      </c>
      <c r="O37" s="63">
        <f t="shared" si="9"/>
        <v>0.26519999999999999</v>
      </c>
      <c r="P37" s="63">
        <f t="shared" si="10"/>
        <v>0</v>
      </c>
      <c r="Q37" s="63">
        <f t="shared" si="11"/>
        <v>0</v>
      </c>
      <c r="R37" s="63">
        <f t="shared" si="12"/>
        <v>0</v>
      </c>
      <c r="S37" s="63">
        <f t="shared" si="13"/>
        <v>0</v>
      </c>
      <c r="T37" s="64">
        <f t="shared" si="13"/>
        <v>2</v>
      </c>
      <c r="V37" s="19"/>
      <c r="W37" s="19"/>
      <c r="X37" s="19"/>
    </row>
    <row r="38" spans="2:24" s="15" customFormat="1" ht="16.5" hidden="1" customHeight="1" x14ac:dyDescent="0.2">
      <c r="B38" s="32">
        <f t="shared" si="14"/>
        <v>33</v>
      </c>
      <c r="C38" s="32">
        <v>10</v>
      </c>
      <c r="D38" s="61">
        <f t="shared" si="14"/>
        <v>0</v>
      </c>
      <c r="F38" s="63">
        <f t="shared" si="0"/>
        <v>0</v>
      </c>
      <c r="G38" s="63">
        <f t="shared" si="1"/>
        <v>0</v>
      </c>
      <c r="H38" s="63">
        <f t="shared" si="2"/>
        <v>0</v>
      </c>
      <c r="I38" s="63">
        <f t="shared" si="3"/>
        <v>0</v>
      </c>
      <c r="J38" s="63">
        <f t="shared" si="4"/>
        <v>0</v>
      </c>
      <c r="K38" s="63">
        <f t="shared" si="5"/>
        <v>0</v>
      </c>
      <c r="L38" s="63">
        <f t="shared" si="6"/>
        <v>0</v>
      </c>
      <c r="M38" s="63">
        <f t="shared" si="7"/>
        <v>0</v>
      </c>
      <c r="N38" s="63">
        <f t="shared" si="8"/>
        <v>0</v>
      </c>
      <c r="O38" s="63">
        <f t="shared" si="9"/>
        <v>0</v>
      </c>
      <c r="P38" s="63">
        <f t="shared" si="10"/>
        <v>0</v>
      </c>
      <c r="Q38" s="63">
        <f t="shared" si="11"/>
        <v>0</v>
      </c>
      <c r="R38" s="63">
        <f t="shared" si="12"/>
        <v>0</v>
      </c>
      <c r="S38" s="63">
        <f t="shared" si="13"/>
        <v>0</v>
      </c>
      <c r="T38" s="64">
        <f t="shared" si="13"/>
        <v>0</v>
      </c>
      <c r="V38" s="19"/>
      <c r="W38" s="19"/>
      <c r="X38" s="19"/>
    </row>
    <row r="39" spans="2:24" s="15" customFormat="1" ht="16.5" hidden="1" customHeight="1" x14ac:dyDescent="0.2">
      <c r="B39" s="32">
        <f t="shared" si="14"/>
        <v>33</v>
      </c>
      <c r="C39" s="32">
        <v>11</v>
      </c>
      <c r="D39" s="61">
        <f t="shared" si="14"/>
        <v>0</v>
      </c>
      <c r="F39" s="63">
        <f t="shared" si="0"/>
        <v>0</v>
      </c>
      <c r="G39" s="63">
        <f t="shared" si="1"/>
        <v>0</v>
      </c>
      <c r="H39" s="63">
        <f t="shared" si="2"/>
        <v>0</v>
      </c>
      <c r="I39" s="63">
        <f t="shared" si="3"/>
        <v>0</v>
      </c>
      <c r="J39" s="63">
        <f t="shared" si="4"/>
        <v>0</v>
      </c>
      <c r="K39" s="63">
        <f t="shared" si="5"/>
        <v>0</v>
      </c>
      <c r="L39" s="63">
        <f t="shared" si="6"/>
        <v>0</v>
      </c>
      <c r="M39" s="63">
        <f t="shared" si="7"/>
        <v>0</v>
      </c>
      <c r="N39" s="63">
        <f t="shared" si="8"/>
        <v>0</v>
      </c>
      <c r="O39" s="63">
        <f t="shared" si="9"/>
        <v>0</v>
      </c>
      <c r="P39" s="63">
        <f t="shared" si="10"/>
        <v>0</v>
      </c>
      <c r="Q39" s="63">
        <f t="shared" si="11"/>
        <v>0</v>
      </c>
      <c r="R39" s="63">
        <f t="shared" si="12"/>
        <v>0</v>
      </c>
      <c r="S39" s="63">
        <f t="shared" si="13"/>
        <v>0</v>
      </c>
      <c r="T39" s="64">
        <f t="shared" si="13"/>
        <v>0</v>
      </c>
      <c r="V39" s="19"/>
      <c r="W39" s="19"/>
      <c r="X39" s="19"/>
    </row>
    <row r="40" spans="2:24" s="15" customFormat="1" ht="16.5" hidden="1" customHeight="1" x14ac:dyDescent="0.2">
      <c r="B40" s="32">
        <f t="shared" si="14"/>
        <v>33</v>
      </c>
      <c r="C40" s="32">
        <v>12</v>
      </c>
      <c r="D40" s="61">
        <f t="shared" si="14"/>
        <v>0</v>
      </c>
      <c r="F40" s="63">
        <f t="shared" si="0"/>
        <v>0</v>
      </c>
      <c r="G40" s="63">
        <f t="shared" si="1"/>
        <v>0</v>
      </c>
      <c r="H40" s="63">
        <f t="shared" si="2"/>
        <v>0</v>
      </c>
      <c r="I40" s="63">
        <f t="shared" si="3"/>
        <v>0</v>
      </c>
      <c r="J40" s="63">
        <f t="shared" si="4"/>
        <v>0</v>
      </c>
      <c r="K40" s="63">
        <f t="shared" si="5"/>
        <v>0</v>
      </c>
      <c r="L40" s="63">
        <f t="shared" si="6"/>
        <v>0</v>
      </c>
      <c r="M40" s="63">
        <f t="shared" si="7"/>
        <v>0</v>
      </c>
      <c r="N40" s="63">
        <f t="shared" si="8"/>
        <v>0</v>
      </c>
      <c r="O40" s="63">
        <f t="shared" si="9"/>
        <v>0</v>
      </c>
      <c r="P40" s="63">
        <f t="shared" si="10"/>
        <v>0</v>
      </c>
      <c r="Q40" s="63">
        <f t="shared" si="11"/>
        <v>0</v>
      </c>
      <c r="R40" s="63">
        <f t="shared" si="12"/>
        <v>0</v>
      </c>
      <c r="S40" s="63">
        <f t="shared" si="13"/>
        <v>0</v>
      </c>
      <c r="T40" s="64">
        <f t="shared" si="13"/>
        <v>0</v>
      </c>
      <c r="V40" s="19"/>
      <c r="W40" s="19"/>
      <c r="X40" s="19"/>
    </row>
    <row r="41" spans="2:24" s="15" customFormat="1" ht="16.5" hidden="1" customHeight="1" x14ac:dyDescent="0.2">
      <c r="B41" s="32">
        <f t="shared" si="14"/>
        <v>33</v>
      </c>
      <c r="C41" s="32">
        <v>13</v>
      </c>
      <c r="D41" s="61">
        <f t="shared" si="14"/>
        <v>0</v>
      </c>
      <c r="F41" s="63">
        <f t="shared" si="0"/>
        <v>0</v>
      </c>
      <c r="G41" s="63">
        <f t="shared" si="1"/>
        <v>0</v>
      </c>
      <c r="H41" s="63">
        <f t="shared" si="2"/>
        <v>0</v>
      </c>
      <c r="I41" s="63">
        <f t="shared" si="3"/>
        <v>0</v>
      </c>
      <c r="J41" s="63">
        <f t="shared" si="4"/>
        <v>0</v>
      </c>
      <c r="K41" s="63">
        <f t="shared" si="5"/>
        <v>0</v>
      </c>
      <c r="L41" s="63">
        <f t="shared" si="6"/>
        <v>0</v>
      </c>
      <c r="M41" s="63">
        <f t="shared" si="7"/>
        <v>0</v>
      </c>
      <c r="N41" s="63">
        <f t="shared" si="8"/>
        <v>0</v>
      </c>
      <c r="O41" s="63">
        <f t="shared" si="9"/>
        <v>0</v>
      </c>
      <c r="P41" s="63">
        <f t="shared" si="10"/>
        <v>0</v>
      </c>
      <c r="Q41" s="63">
        <f t="shared" si="11"/>
        <v>0</v>
      </c>
      <c r="R41" s="63">
        <f t="shared" si="12"/>
        <v>0</v>
      </c>
      <c r="S41" s="63">
        <f t="shared" si="13"/>
        <v>0</v>
      </c>
      <c r="T41" s="64">
        <f t="shared" si="13"/>
        <v>0</v>
      </c>
      <c r="V41" s="19"/>
      <c r="W41" s="19"/>
      <c r="X41" s="19"/>
    </row>
    <row r="42" spans="2:24" s="15" customFormat="1" ht="16.5" hidden="1" customHeight="1" x14ac:dyDescent="0.2">
      <c r="B42" s="32">
        <f t="shared" si="14"/>
        <v>33</v>
      </c>
      <c r="C42" s="32">
        <v>14</v>
      </c>
      <c r="D42" s="61">
        <f t="shared" si="14"/>
        <v>0</v>
      </c>
      <c r="F42" s="63">
        <f t="shared" si="0"/>
        <v>0</v>
      </c>
      <c r="G42" s="63">
        <f t="shared" si="1"/>
        <v>0</v>
      </c>
      <c r="H42" s="63">
        <f t="shared" si="2"/>
        <v>0</v>
      </c>
      <c r="I42" s="63">
        <f t="shared" si="3"/>
        <v>0</v>
      </c>
      <c r="J42" s="63">
        <f t="shared" si="4"/>
        <v>0</v>
      </c>
      <c r="K42" s="63">
        <f t="shared" si="5"/>
        <v>0</v>
      </c>
      <c r="L42" s="63">
        <f t="shared" si="6"/>
        <v>0</v>
      </c>
      <c r="M42" s="63">
        <f t="shared" si="7"/>
        <v>0</v>
      </c>
      <c r="N42" s="63">
        <f t="shared" si="8"/>
        <v>0</v>
      </c>
      <c r="O42" s="63">
        <f t="shared" si="9"/>
        <v>0</v>
      </c>
      <c r="P42" s="63">
        <f t="shared" si="10"/>
        <v>0</v>
      </c>
      <c r="Q42" s="63">
        <f t="shared" si="11"/>
        <v>0</v>
      </c>
      <c r="R42" s="63">
        <f t="shared" si="12"/>
        <v>0</v>
      </c>
      <c r="S42" s="63">
        <f t="shared" si="13"/>
        <v>0</v>
      </c>
      <c r="T42" s="64">
        <f t="shared" si="13"/>
        <v>0</v>
      </c>
      <c r="V42" s="19"/>
      <c r="W42" s="19"/>
      <c r="X42" s="19"/>
    </row>
    <row r="43" spans="2:24" s="15" customFormat="1" ht="16.5" hidden="1" customHeight="1" x14ac:dyDescent="0.2">
      <c r="B43" s="32">
        <f t="shared" si="14"/>
        <v>33</v>
      </c>
      <c r="C43" s="32">
        <v>15</v>
      </c>
      <c r="D43" s="61">
        <f t="shared" si="14"/>
        <v>0</v>
      </c>
      <c r="F43" s="63">
        <f t="shared" si="0"/>
        <v>0</v>
      </c>
      <c r="G43" s="63">
        <f t="shared" si="1"/>
        <v>0</v>
      </c>
      <c r="H43" s="63">
        <f t="shared" si="2"/>
        <v>0</v>
      </c>
      <c r="I43" s="63">
        <f t="shared" si="3"/>
        <v>0</v>
      </c>
      <c r="J43" s="63">
        <f t="shared" si="4"/>
        <v>0</v>
      </c>
      <c r="K43" s="63">
        <f t="shared" si="5"/>
        <v>0</v>
      </c>
      <c r="L43" s="63">
        <f t="shared" si="6"/>
        <v>0</v>
      </c>
      <c r="M43" s="63">
        <f t="shared" si="7"/>
        <v>0</v>
      </c>
      <c r="N43" s="63">
        <f t="shared" si="8"/>
        <v>0</v>
      </c>
      <c r="O43" s="63">
        <f t="shared" si="9"/>
        <v>0</v>
      </c>
      <c r="P43" s="63">
        <f t="shared" si="10"/>
        <v>0</v>
      </c>
      <c r="Q43" s="63">
        <f t="shared" si="11"/>
        <v>0</v>
      </c>
      <c r="R43" s="63">
        <f t="shared" si="12"/>
        <v>0</v>
      </c>
      <c r="S43" s="63">
        <f t="shared" si="13"/>
        <v>0</v>
      </c>
      <c r="T43" s="64">
        <f t="shared" si="13"/>
        <v>0</v>
      </c>
      <c r="V43" s="19"/>
      <c r="W43" s="19"/>
      <c r="X43" s="19"/>
    </row>
    <row r="44" spans="2:24" s="15" customFormat="1" ht="16.5" hidden="1" customHeight="1" x14ac:dyDescent="0.2">
      <c r="B44" s="25"/>
      <c r="C44" s="25"/>
      <c r="D44" s="26" t="s">
        <v>24</v>
      </c>
      <c r="E44" s="53">
        <v>100</v>
      </c>
      <c r="F44" s="54"/>
      <c r="G44" s="53">
        <f>X7</f>
        <v>86</v>
      </c>
      <c r="H44" s="53"/>
      <c r="I44" s="53">
        <f>X9</f>
        <v>12</v>
      </c>
      <c r="J44" s="53">
        <f>X10</f>
        <v>7</v>
      </c>
      <c r="K44" s="53"/>
      <c r="L44" s="53"/>
      <c r="M44" s="54">
        <f>X13</f>
        <v>65</v>
      </c>
      <c r="N44" s="53">
        <f>X14</f>
        <v>0.8</v>
      </c>
      <c r="O44" s="53"/>
      <c r="P44" s="53" t="e">
        <f>#REF!</f>
        <v>#REF!</v>
      </c>
      <c r="Q44" s="55" t="e">
        <f>#REF!</f>
        <v>#REF!</v>
      </c>
      <c r="R44" s="55" t="e">
        <f>#REF!</f>
        <v>#REF!</v>
      </c>
      <c r="S44" s="3"/>
      <c r="T44" s="52"/>
      <c r="V44" s="19"/>
      <c r="W44" s="19"/>
      <c r="X44" s="19"/>
    </row>
    <row r="45" spans="2:24" s="27" customFormat="1" ht="16.5" hidden="1" customHeight="1" x14ac:dyDescent="0.2">
      <c r="B45" s="39"/>
      <c r="C45" s="39"/>
      <c r="D45" s="65" t="s">
        <v>20</v>
      </c>
      <c r="E45" s="66">
        <f>SUM(G7:G21)</f>
        <v>101</v>
      </c>
      <c r="F45" s="67">
        <f t="shared" ref="F45:R45" si="15">SUM(F29:F43)</f>
        <v>1682.5</v>
      </c>
      <c r="G45" s="66">
        <f t="shared" si="15"/>
        <v>40.869</v>
      </c>
      <c r="H45" s="68">
        <f t="shared" si="15"/>
        <v>19.8445</v>
      </c>
      <c r="I45" s="69">
        <f t="shared" si="15"/>
        <v>11.835599999999999</v>
      </c>
      <c r="J45" s="68">
        <f>SUM(J29:J44)</f>
        <v>10.887920000000001</v>
      </c>
      <c r="K45" s="69">
        <f t="shared" si="15"/>
        <v>19.066500000000001</v>
      </c>
      <c r="L45" s="69">
        <f t="shared" si="15"/>
        <v>56.245000000000005</v>
      </c>
      <c r="M45" s="70">
        <f t="shared" si="15"/>
        <v>67.103999999999999</v>
      </c>
      <c r="N45" s="66">
        <f t="shared" si="15"/>
        <v>1.2090999999999998</v>
      </c>
      <c r="O45" s="66">
        <f t="shared" si="15"/>
        <v>0.5230999999999999</v>
      </c>
      <c r="P45" s="66">
        <f t="shared" si="15"/>
        <v>0</v>
      </c>
      <c r="Q45" s="71">
        <f t="shared" si="15"/>
        <v>0</v>
      </c>
      <c r="R45" s="71">
        <f t="shared" si="15"/>
        <v>0</v>
      </c>
      <c r="S45" s="60"/>
      <c r="T45" s="72"/>
      <c r="V45" s="19"/>
      <c r="W45" s="19"/>
      <c r="X45" s="19"/>
    </row>
    <row r="46" spans="2:24" s="27" customFormat="1" ht="16.5" hidden="1" customHeight="1" x14ac:dyDescent="0.2">
      <c r="B46" s="25"/>
      <c r="C46" s="25"/>
      <c r="D46" s="26" t="s">
        <v>25</v>
      </c>
      <c r="E46" s="56"/>
      <c r="F46" s="54"/>
      <c r="G46" s="54"/>
      <c r="H46" s="53"/>
      <c r="I46" s="53">
        <f>Y9</f>
        <v>13</v>
      </c>
      <c r="J46" s="53"/>
      <c r="K46" s="53">
        <f>Y11</f>
        <v>21</v>
      </c>
      <c r="L46" s="53"/>
      <c r="M46" s="54">
        <f>Y13</f>
        <v>67</v>
      </c>
      <c r="N46" s="53">
        <f>Y14</f>
        <v>1</v>
      </c>
      <c r="O46" s="54"/>
      <c r="P46" s="53" t="e">
        <f>#REF!</f>
        <v>#REF!</v>
      </c>
      <c r="Q46" s="55" t="e">
        <f>#REF!</f>
        <v>#REF!</v>
      </c>
      <c r="R46" s="55" t="e">
        <f>#REF!</f>
        <v>#REF!</v>
      </c>
      <c r="S46" s="3"/>
      <c r="T46" s="52"/>
    </row>
    <row r="47" spans="2:24" s="15" customFormat="1" hidden="1" x14ac:dyDescent="0.2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 x14ac:dyDescent="0.2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 x14ac:dyDescent="0.2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hidden="1" customHeight="1" x14ac:dyDescent="0.2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hidden="1" customHeight="1" x14ac:dyDescent="0.2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hidden="1" customHeight="1" x14ac:dyDescent="0.2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hidden="1" customHeight="1" x14ac:dyDescent="0.2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hidden="1" customHeight="1" x14ac:dyDescent="0.2">
      <c r="V54" s="15"/>
    </row>
    <row r="55" spans="5:22" ht="15" hidden="1" customHeight="1" x14ac:dyDescent="0.2">
      <c r="V55" s="15"/>
    </row>
    <row r="56" spans="5:22" ht="15" hidden="1" customHeight="1" x14ac:dyDescent="0.2">
      <c r="V56" s="15"/>
    </row>
    <row r="57" spans="5:22" ht="15" hidden="1" customHeight="1" x14ac:dyDescent="0.2">
      <c r="V57" s="15"/>
    </row>
    <row r="58" spans="5:22" ht="15" hidden="1" customHeight="1" x14ac:dyDescent="0.2">
      <c r="V58" s="15"/>
    </row>
    <row r="59" spans="5:22" ht="15" hidden="1" customHeight="1" x14ac:dyDescent="0.2">
      <c r="V59" s="15"/>
    </row>
    <row r="60" spans="5:22" ht="15" hidden="1" customHeight="1" x14ac:dyDescent="0.2"/>
    <row r="61" spans="5:22" ht="15" customHeight="1" x14ac:dyDescent="0.2"/>
    <row r="62" spans="5:22" ht="15" customHeight="1" x14ac:dyDescent="0.2"/>
    <row r="63" spans="5:22" ht="15" customHeight="1" x14ac:dyDescent="0.2"/>
    <row r="64" spans="5:22" ht="15" customHeight="1" x14ac:dyDescent="0.2"/>
    <row r="65" spans="2:16" ht="15" customHeight="1" x14ac:dyDescent="0.2"/>
    <row r="66" spans="2:16" ht="15" customHeight="1" x14ac:dyDescent="0.2"/>
    <row r="68" spans="2:16" x14ac:dyDescent="0.2">
      <c r="B68" s="23"/>
      <c r="C68" s="23"/>
      <c r="D68" s="19"/>
      <c r="E68" s="18"/>
      <c r="F68" s="51"/>
      <c r="G68" s="51"/>
      <c r="H68" s="18"/>
      <c r="I68" s="18"/>
      <c r="J68" s="18"/>
      <c r="K68" s="18"/>
      <c r="L68" s="18"/>
      <c r="M68" s="16"/>
      <c r="N68" s="16"/>
      <c r="O68" s="16"/>
      <c r="P68" s="16"/>
    </row>
    <row r="69" spans="2:16" x14ac:dyDescent="0.2">
      <c r="B69" s="23"/>
      <c r="C69" s="23"/>
      <c r="D69" s="19"/>
      <c r="E69" s="18"/>
      <c r="F69" s="51"/>
      <c r="G69" s="51"/>
      <c r="H69" s="18"/>
      <c r="I69" s="18"/>
      <c r="J69" s="18"/>
      <c r="K69" s="18"/>
      <c r="L69" s="20"/>
      <c r="M69" s="16"/>
      <c r="N69" s="16"/>
      <c r="O69" s="16"/>
      <c r="P69" s="16"/>
    </row>
    <row r="70" spans="2:16" x14ac:dyDescent="0.2">
      <c r="B70" s="23"/>
      <c r="C70" s="23"/>
      <c r="D70" s="19"/>
      <c r="E70" s="18"/>
      <c r="F70" s="51"/>
      <c r="G70" s="51"/>
      <c r="H70" s="18"/>
      <c r="I70" s="18"/>
      <c r="J70" s="18"/>
      <c r="K70" s="18"/>
      <c r="L70" s="20"/>
      <c r="M70" s="16"/>
      <c r="N70" s="16"/>
      <c r="O70" s="16"/>
      <c r="P70" s="16"/>
    </row>
    <row r="71" spans="2:16" x14ac:dyDescent="0.2">
      <c r="L71" s="16"/>
      <c r="M71" s="16"/>
      <c r="N71" s="16"/>
      <c r="O71" s="16"/>
      <c r="P71" s="16"/>
    </row>
    <row r="72" spans="2:16" x14ac:dyDescent="0.2">
      <c r="L72" s="16"/>
      <c r="M72" s="16"/>
      <c r="N72" s="16"/>
      <c r="O72" s="16"/>
      <c r="P72" s="16"/>
    </row>
    <row r="73" spans="2:16" x14ac:dyDescent="0.2">
      <c r="L73" s="16"/>
      <c r="M73" s="16"/>
      <c r="N73" s="16"/>
      <c r="O73" s="16"/>
      <c r="P73" s="16"/>
    </row>
    <row r="74" spans="2:16" x14ac:dyDescent="0.2">
      <c r="L74" s="16"/>
      <c r="M74" s="16"/>
      <c r="N74" s="16"/>
      <c r="O74" s="16"/>
      <c r="P74" s="16"/>
    </row>
    <row r="75" spans="2:16" x14ac:dyDescent="0.2">
      <c r="L75" s="16"/>
      <c r="M75" s="16"/>
      <c r="N75" s="16"/>
      <c r="O75" s="16"/>
      <c r="P75" s="16"/>
    </row>
    <row r="76" spans="2:16" x14ac:dyDescent="0.2">
      <c r="L76" s="16"/>
      <c r="M76" s="16"/>
      <c r="N76" s="16"/>
      <c r="O76" s="16"/>
      <c r="P76" s="16"/>
    </row>
    <row r="77" spans="2:16" x14ac:dyDescent="0.2">
      <c r="L77" s="16"/>
      <c r="M77" s="16"/>
      <c r="N77" s="16"/>
      <c r="O77" s="16"/>
      <c r="P77" s="16"/>
    </row>
    <row r="78" spans="2:16" x14ac:dyDescent="0.2">
      <c r="L78" s="16"/>
      <c r="M78" s="16"/>
      <c r="N78" s="16"/>
      <c r="O78" s="16"/>
      <c r="P78" s="16"/>
    </row>
    <row r="79" spans="2:16" x14ac:dyDescent="0.2">
      <c r="L79" s="16"/>
      <c r="M79" s="16"/>
      <c r="N79" s="16"/>
      <c r="O79" s="16"/>
      <c r="P79" s="16"/>
    </row>
    <row r="80" spans="2:16" x14ac:dyDescent="0.2">
      <c r="L80" s="16"/>
      <c r="M80" s="16"/>
      <c r="N80" s="16"/>
      <c r="O80" s="16"/>
      <c r="P80" s="16"/>
    </row>
    <row r="81" spans="12:16" x14ac:dyDescent="0.2">
      <c r="L81" s="16"/>
      <c r="M81" s="16"/>
      <c r="N81" s="16"/>
      <c r="O81" s="16"/>
      <c r="P81" s="16"/>
    </row>
    <row r="82" spans="12:16" x14ac:dyDescent="0.2">
      <c r="L82" s="16"/>
      <c r="M82" s="16"/>
      <c r="N82" s="16"/>
      <c r="O82" s="16"/>
      <c r="P82" s="16"/>
    </row>
    <row r="83" spans="12:16" x14ac:dyDescent="0.2">
      <c r="L83" s="16"/>
      <c r="M83" s="16"/>
      <c r="N83" s="16"/>
      <c r="O83" s="16"/>
      <c r="P83" s="16"/>
    </row>
    <row r="84" spans="12:16" x14ac:dyDescent="0.2">
      <c r="L84" s="16"/>
      <c r="M84" s="16"/>
      <c r="N84" s="16"/>
      <c r="O84" s="16"/>
      <c r="P84" s="16"/>
    </row>
    <row r="85" spans="12:16" x14ac:dyDescent="0.2">
      <c r="L85" s="16"/>
      <c r="M85" s="16"/>
      <c r="N85" s="16"/>
      <c r="O85" s="16"/>
      <c r="P85" s="16"/>
    </row>
    <row r="86" spans="12:16" x14ac:dyDescent="0.2">
      <c r="L86" s="16"/>
      <c r="M86" s="16"/>
      <c r="N86" s="16"/>
      <c r="O86" s="16"/>
      <c r="P86" s="16"/>
    </row>
    <row r="87" spans="12:16" x14ac:dyDescent="0.2">
      <c r="L87" s="16"/>
      <c r="M87" s="16"/>
      <c r="N87" s="16"/>
      <c r="O87" s="16"/>
      <c r="P87" s="16"/>
    </row>
    <row r="88" spans="12:16" x14ac:dyDescent="0.2">
      <c r="L88" s="16"/>
      <c r="M88" s="16"/>
      <c r="N88" s="16"/>
      <c r="O88" s="16"/>
      <c r="P88" s="16"/>
    </row>
    <row r="89" spans="12:16" x14ac:dyDescent="0.2">
      <c r="L89" s="16"/>
      <c r="M89" s="16"/>
      <c r="N89" s="16"/>
      <c r="O89" s="16"/>
      <c r="P89" s="16"/>
    </row>
    <row r="90" spans="12:16" x14ac:dyDescent="0.2">
      <c r="L90" s="16"/>
      <c r="M90" s="16"/>
      <c r="N90" s="16"/>
      <c r="O90" s="16"/>
      <c r="P90" s="16"/>
    </row>
    <row r="91" spans="12:16" x14ac:dyDescent="0.2">
      <c r="L91" s="16"/>
      <c r="M91" s="16"/>
      <c r="N91" s="16"/>
      <c r="O91" s="16"/>
      <c r="P91" s="16"/>
    </row>
    <row r="92" spans="12:16" x14ac:dyDescent="0.2">
      <c r="L92" s="16"/>
      <c r="M92" s="16"/>
      <c r="N92" s="16"/>
      <c r="O92" s="16"/>
      <c r="P92" s="16"/>
    </row>
    <row r="93" spans="12:16" x14ac:dyDescent="0.2">
      <c r="L93" s="16"/>
      <c r="M93" s="16"/>
      <c r="N93" s="16"/>
      <c r="O93" s="16"/>
      <c r="P93" s="16"/>
    </row>
    <row r="94" spans="12:16" x14ac:dyDescent="0.2">
      <c r="L94" s="16"/>
      <c r="M94" s="16"/>
      <c r="N94" s="16"/>
      <c r="O94" s="16"/>
      <c r="P94" s="16"/>
    </row>
    <row r="95" spans="12:16" x14ac:dyDescent="0.2">
      <c r="L95" s="16"/>
      <c r="M95" s="16"/>
      <c r="N95" s="16"/>
      <c r="O95" s="16"/>
      <c r="P95" s="16"/>
    </row>
    <row r="96" spans="12:16" x14ac:dyDescent="0.2">
      <c r="L96" s="16"/>
      <c r="M96" s="16"/>
      <c r="N96" s="16"/>
      <c r="O96" s="16"/>
      <c r="P96" s="16"/>
    </row>
    <row r="97" spans="12:16" x14ac:dyDescent="0.2">
      <c r="L97" s="16"/>
      <c r="M97" s="16"/>
      <c r="N97" s="16"/>
      <c r="O97" s="16"/>
      <c r="P97" s="16"/>
    </row>
    <row r="98" spans="12:16" x14ac:dyDescent="0.2">
      <c r="L98" s="16"/>
      <c r="M98" s="16"/>
      <c r="N98" s="16"/>
      <c r="O98" s="16"/>
      <c r="P98" s="16"/>
    </row>
    <row r="99" spans="12:16" x14ac:dyDescent="0.2">
      <c r="L99" s="16"/>
      <c r="M99" s="16"/>
      <c r="N99" s="16"/>
      <c r="O99" s="16"/>
      <c r="P99" s="16"/>
    </row>
    <row r="100" spans="12:16" x14ac:dyDescent="0.2">
      <c r="L100" s="16"/>
      <c r="M100" s="16"/>
      <c r="N100" s="16"/>
      <c r="O100" s="16"/>
      <c r="P100" s="16"/>
    </row>
    <row r="101" spans="12:16" x14ac:dyDescent="0.2">
      <c r="L101" s="16"/>
      <c r="M101" s="16"/>
      <c r="N101" s="16"/>
      <c r="O101" s="16"/>
      <c r="P101" s="16"/>
    </row>
    <row r="102" spans="12:16" x14ac:dyDescent="0.2">
      <c r="L102" s="16"/>
      <c r="M102" s="16"/>
      <c r="N102" s="16"/>
      <c r="O102" s="16"/>
      <c r="P102" s="16"/>
    </row>
    <row r="103" spans="12:16" x14ac:dyDescent="0.2">
      <c r="L103" s="16"/>
      <c r="M103" s="16"/>
      <c r="N103" s="16"/>
      <c r="O103" s="16"/>
      <c r="P103" s="16"/>
    </row>
    <row r="104" spans="12:16" x14ac:dyDescent="0.2">
      <c r="L104" s="16"/>
      <c r="M104" s="16"/>
      <c r="N104" s="16"/>
      <c r="O104" s="16"/>
      <c r="P104" s="16"/>
    </row>
    <row r="105" spans="12:16" x14ac:dyDescent="0.2">
      <c r="L105" s="16"/>
      <c r="M105" s="16"/>
      <c r="N105" s="16"/>
      <c r="O105" s="16"/>
      <c r="P105" s="16"/>
    </row>
    <row r="106" spans="12:16" x14ac:dyDescent="0.2">
      <c r="L106" s="16"/>
      <c r="M106" s="16"/>
      <c r="N106" s="16"/>
      <c r="O106" s="16"/>
      <c r="P106" s="16"/>
    </row>
    <row r="107" spans="12:16" x14ac:dyDescent="0.2">
      <c r="L107" s="16"/>
      <c r="M107" s="16"/>
      <c r="N107" s="16"/>
      <c r="O107" s="16"/>
      <c r="P107" s="16"/>
    </row>
    <row r="108" spans="12:16" x14ac:dyDescent="0.2">
      <c r="L108" s="16"/>
      <c r="M108" s="16"/>
      <c r="N108" s="16"/>
      <c r="O108" s="16"/>
      <c r="P108" s="16"/>
    </row>
    <row r="109" spans="12:16" x14ac:dyDescent="0.2">
      <c r="L109" s="16"/>
      <c r="M109" s="16"/>
      <c r="N109" s="16"/>
      <c r="O109" s="16"/>
      <c r="P109" s="16"/>
    </row>
    <row r="110" spans="12:16" x14ac:dyDescent="0.2">
      <c r="L110" s="16"/>
      <c r="M110" s="16"/>
      <c r="N110" s="16"/>
      <c r="O110" s="16"/>
      <c r="P110" s="16"/>
    </row>
    <row r="111" spans="12:16" x14ac:dyDescent="0.2">
      <c r="L111" s="16"/>
      <c r="M111" s="16"/>
      <c r="N111" s="16"/>
      <c r="O111" s="16"/>
      <c r="P111" s="16"/>
    </row>
    <row r="112" spans="12:16" x14ac:dyDescent="0.2">
      <c r="L112" s="16"/>
      <c r="M112" s="16"/>
      <c r="N112" s="16"/>
      <c r="O112" s="16"/>
      <c r="P112" s="16"/>
    </row>
    <row r="113" spans="12:16" x14ac:dyDescent="0.2">
      <c r="L113" s="16"/>
      <c r="M113" s="16"/>
      <c r="N113" s="16"/>
      <c r="O113" s="16"/>
      <c r="P113" s="16"/>
    </row>
    <row r="114" spans="12:16" x14ac:dyDescent="0.2">
      <c r="L114" s="16"/>
      <c r="M114" s="16"/>
      <c r="N114" s="16"/>
      <c r="O114" s="16"/>
      <c r="P114" s="16"/>
    </row>
    <row r="115" spans="12:16" x14ac:dyDescent="0.2">
      <c r="L115" s="16"/>
      <c r="M115" s="16"/>
      <c r="N115" s="16"/>
      <c r="O115" s="16"/>
      <c r="P115" s="16"/>
    </row>
    <row r="116" spans="12:16" x14ac:dyDescent="0.2">
      <c r="L116" s="16"/>
      <c r="M116" s="16"/>
      <c r="N116" s="16"/>
      <c r="O116" s="16"/>
      <c r="P116" s="16"/>
    </row>
    <row r="117" spans="12:16" x14ac:dyDescent="0.2">
      <c r="L117" s="16"/>
      <c r="M117" s="16"/>
      <c r="N117" s="16"/>
      <c r="O117" s="16"/>
      <c r="P117" s="16"/>
    </row>
    <row r="118" spans="12:16" x14ac:dyDescent="0.2">
      <c r="L118" s="16"/>
      <c r="M118" s="16"/>
      <c r="N118" s="16"/>
      <c r="O118" s="16"/>
      <c r="P118" s="16"/>
    </row>
    <row r="119" spans="12:16" x14ac:dyDescent="0.2">
      <c r="L119" s="16"/>
      <c r="M119" s="16"/>
      <c r="N119" s="16"/>
      <c r="O119" s="16"/>
      <c r="P119" s="16"/>
    </row>
    <row r="120" spans="12:16" x14ac:dyDescent="0.2">
      <c r="L120" s="16"/>
      <c r="M120" s="16"/>
      <c r="N120" s="16"/>
      <c r="O120" s="16"/>
      <c r="P120" s="16"/>
    </row>
    <row r="121" spans="12:16" x14ac:dyDescent="0.2">
      <c r="L121" s="16"/>
      <c r="M121" s="16"/>
      <c r="N121" s="16"/>
      <c r="O121" s="16"/>
      <c r="P121" s="16"/>
    </row>
    <row r="122" spans="12:16" x14ac:dyDescent="0.2">
      <c r="L122" s="16"/>
      <c r="M122" s="16"/>
      <c r="N122" s="16"/>
      <c r="O122" s="16"/>
      <c r="P122" s="16"/>
    </row>
    <row r="123" spans="12:16" x14ac:dyDescent="0.2">
      <c r="L123" s="16"/>
      <c r="M123" s="16"/>
      <c r="N123" s="16"/>
      <c r="O123" s="16"/>
      <c r="P123" s="16"/>
    </row>
    <row r="124" spans="12:16" x14ac:dyDescent="0.2">
      <c r="L124" s="16"/>
      <c r="M124" s="16"/>
      <c r="N124" s="16"/>
      <c r="O124" s="16"/>
      <c r="P124" s="16"/>
    </row>
    <row r="125" spans="12:16" x14ac:dyDescent="0.2">
      <c r="L125" s="16"/>
      <c r="M125" s="16"/>
      <c r="N125" s="16"/>
      <c r="O125" s="16"/>
      <c r="P125" s="16"/>
    </row>
    <row r="126" spans="12:16" x14ac:dyDescent="0.2">
      <c r="L126" s="16"/>
      <c r="M126" s="16"/>
      <c r="N126" s="16"/>
      <c r="O126" s="16"/>
      <c r="P126" s="16"/>
    </row>
    <row r="127" spans="12:16" x14ac:dyDescent="0.2">
      <c r="L127" s="16"/>
      <c r="M127" s="16"/>
      <c r="N127" s="16"/>
      <c r="O127" s="16"/>
      <c r="P127" s="16"/>
    </row>
    <row r="128" spans="12:16" x14ac:dyDescent="0.2">
      <c r="L128" s="16"/>
      <c r="M128" s="16"/>
      <c r="N128" s="16"/>
      <c r="O128" s="16"/>
      <c r="P128" s="16"/>
    </row>
    <row r="129" spans="12:16" x14ac:dyDescent="0.2">
      <c r="L129" s="16"/>
      <c r="M129" s="16"/>
      <c r="N129" s="16"/>
      <c r="O129" s="16"/>
      <c r="P129" s="16"/>
    </row>
    <row r="130" spans="12:16" x14ac:dyDescent="0.2">
      <c r="L130" s="16"/>
      <c r="M130" s="16"/>
      <c r="N130" s="16"/>
      <c r="O130" s="16"/>
      <c r="P130" s="16"/>
    </row>
    <row r="131" spans="12:16" x14ac:dyDescent="0.2">
      <c r="L131" s="16"/>
      <c r="M131" s="16"/>
      <c r="N131" s="16"/>
      <c r="O131" s="16"/>
      <c r="P131" s="16"/>
    </row>
    <row r="132" spans="12:16" x14ac:dyDescent="0.2">
      <c r="L132" s="16"/>
      <c r="M132" s="16"/>
      <c r="N132" s="16"/>
      <c r="O132" s="16"/>
      <c r="P132" s="16"/>
    </row>
    <row r="133" spans="12:16" x14ac:dyDescent="0.2">
      <c r="L133" s="16"/>
      <c r="M133" s="16"/>
      <c r="N133" s="16"/>
      <c r="O133" s="16"/>
      <c r="P133" s="16"/>
    </row>
    <row r="134" spans="12:16" x14ac:dyDescent="0.2">
      <c r="L134" s="16"/>
      <c r="M134" s="16"/>
      <c r="N134" s="16"/>
      <c r="O134" s="16"/>
      <c r="P134" s="16"/>
    </row>
    <row r="135" spans="12:16" x14ac:dyDescent="0.2">
      <c r="L135" s="16"/>
      <c r="M135" s="16"/>
      <c r="N135" s="16"/>
      <c r="O135" s="16"/>
      <c r="P135" s="16"/>
    </row>
    <row r="136" spans="12:16" x14ac:dyDescent="0.2">
      <c r="L136" s="16"/>
      <c r="M136" s="16"/>
      <c r="N136" s="16"/>
      <c r="O136" s="16"/>
      <c r="P136" s="16"/>
    </row>
    <row r="137" spans="12:16" x14ac:dyDescent="0.2">
      <c r="L137" s="16"/>
      <c r="M137" s="16"/>
      <c r="N137" s="16"/>
      <c r="O137" s="16"/>
      <c r="P137" s="16"/>
    </row>
    <row r="138" spans="12:16" x14ac:dyDescent="0.2">
      <c r="L138" s="16"/>
      <c r="M138" s="16"/>
      <c r="N138" s="16"/>
      <c r="O138" s="16"/>
      <c r="P138" s="16"/>
    </row>
    <row r="139" spans="12:16" x14ac:dyDescent="0.2">
      <c r="L139" s="16"/>
      <c r="M139" s="16"/>
      <c r="N139" s="16"/>
      <c r="O139" s="16"/>
      <c r="P139" s="16"/>
    </row>
    <row r="140" spans="12:16" x14ac:dyDescent="0.2">
      <c r="L140" s="16"/>
      <c r="M140" s="16"/>
      <c r="N140" s="16"/>
      <c r="O140" s="16"/>
      <c r="P140" s="16"/>
    </row>
    <row r="141" spans="12:16" x14ac:dyDescent="0.2">
      <c r="L141" s="16"/>
      <c r="M141" s="16"/>
      <c r="N141" s="16"/>
      <c r="O141" s="16"/>
      <c r="P141" s="16"/>
    </row>
    <row r="142" spans="12:16" x14ac:dyDescent="0.2">
      <c r="L142" s="16"/>
      <c r="M142" s="16"/>
      <c r="N142" s="16"/>
      <c r="O142" s="16"/>
      <c r="P142" s="16"/>
    </row>
    <row r="143" spans="12:16" x14ac:dyDescent="0.2">
      <c r="L143" s="16"/>
      <c r="M143" s="16"/>
      <c r="N143" s="16"/>
      <c r="O143" s="16"/>
      <c r="P143" s="16"/>
    </row>
    <row r="144" spans="12:16" x14ac:dyDescent="0.2">
      <c r="L144" s="16"/>
      <c r="M144" s="16"/>
      <c r="N144" s="16"/>
      <c r="O144" s="16"/>
      <c r="P144" s="16"/>
    </row>
    <row r="145" spans="12:16" x14ac:dyDescent="0.2">
      <c r="L145" s="16"/>
      <c r="M145" s="16"/>
      <c r="N145" s="16"/>
      <c r="O145" s="16"/>
      <c r="P145" s="16"/>
    </row>
    <row r="146" spans="12:16" x14ac:dyDescent="0.2">
      <c r="L146" s="16"/>
      <c r="M146" s="16"/>
      <c r="N146" s="16"/>
      <c r="O146" s="16"/>
      <c r="P146" s="16"/>
    </row>
    <row r="147" spans="12:16" x14ac:dyDescent="0.2">
      <c r="L147" s="16"/>
      <c r="M147" s="16"/>
      <c r="N147" s="16"/>
      <c r="O147" s="16"/>
      <c r="P147" s="16"/>
    </row>
    <row r="148" spans="12:16" x14ac:dyDescent="0.2">
      <c r="L148" s="16"/>
      <c r="M148" s="16"/>
      <c r="N148" s="16"/>
      <c r="O148" s="16"/>
      <c r="P148" s="16"/>
    </row>
    <row r="149" spans="12:16" x14ac:dyDescent="0.2">
      <c r="L149" s="16"/>
      <c r="M149" s="16"/>
      <c r="N149" s="16"/>
      <c r="O149" s="16"/>
      <c r="P149" s="16"/>
    </row>
    <row r="150" spans="12:16" x14ac:dyDescent="0.2">
      <c r="L150" s="16"/>
      <c r="M150" s="16"/>
      <c r="N150" s="16"/>
      <c r="O150" s="16"/>
      <c r="P150" s="16"/>
    </row>
    <row r="151" spans="12:16" x14ac:dyDescent="0.2">
      <c r="L151" s="16"/>
      <c r="M151" s="16"/>
      <c r="N151" s="16"/>
      <c r="O151" s="16"/>
      <c r="P151" s="16"/>
    </row>
    <row r="152" spans="12:16" x14ac:dyDescent="0.2">
      <c r="L152" s="16"/>
      <c r="M152" s="16"/>
      <c r="N152" s="16"/>
      <c r="O152" s="16"/>
      <c r="P152" s="16"/>
    </row>
    <row r="153" spans="12:16" x14ac:dyDescent="0.2">
      <c r="L153" s="16"/>
      <c r="M153" s="16"/>
      <c r="N153" s="16"/>
      <c r="O153" s="16"/>
      <c r="P153" s="16"/>
    </row>
    <row r="154" spans="12:16" x14ac:dyDescent="0.2">
      <c r="L154" s="16"/>
      <c r="M154" s="16"/>
      <c r="N154" s="16"/>
      <c r="O154" s="16"/>
      <c r="P154" s="16"/>
    </row>
    <row r="155" spans="12:16" x14ac:dyDescent="0.2">
      <c r="L155" s="16"/>
      <c r="M155" s="16"/>
      <c r="N155" s="16"/>
      <c r="O155" s="16"/>
      <c r="P155" s="16"/>
    </row>
    <row r="156" spans="12:16" x14ac:dyDescent="0.2">
      <c r="L156" s="16"/>
      <c r="M156" s="16"/>
      <c r="N156" s="16"/>
      <c r="O156" s="16"/>
      <c r="P156" s="16"/>
    </row>
    <row r="157" spans="12:16" x14ac:dyDescent="0.2">
      <c r="L157" s="16"/>
      <c r="M157" s="16"/>
      <c r="N157" s="16"/>
      <c r="O157" s="16"/>
      <c r="P157" s="16"/>
    </row>
    <row r="158" spans="12:16" x14ac:dyDescent="0.2">
      <c r="L158" s="16"/>
      <c r="M158" s="16"/>
      <c r="N158" s="16"/>
      <c r="O158" s="16"/>
      <c r="P158" s="16"/>
    </row>
    <row r="159" spans="12:16" x14ac:dyDescent="0.2">
      <c r="L159" s="16"/>
      <c r="M159" s="16"/>
      <c r="N159" s="16"/>
      <c r="O159" s="16"/>
      <c r="P159" s="16"/>
    </row>
    <row r="160" spans="12:16" x14ac:dyDescent="0.2">
      <c r="L160" s="16"/>
      <c r="M160" s="16"/>
      <c r="N160" s="16"/>
      <c r="O160" s="16"/>
      <c r="P160" s="16"/>
    </row>
    <row r="161" spans="12:16" x14ac:dyDescent="0.2">
      <c r="L161" s="16"/>
      <c r="M161" s="16"/>
      <c r="N161" s="16"/>
      <c r="O161" s="16"/>
      <c r="P161" s="16"/>
    </row>
    <row r="162" spans="12:16" x14ac:dyDescent="0.2">
      <c r="L162" s="16"/>
      <c r="M162" s="16"/>
      <c r="N162" s="16"/>
      <c r="O162" s="16"/>
      <c r="P162" s="16"/>
    </row>
    <row r="163" spans="12:16" x14ac:dyDescent="0.2">
      <c r="L163" s="16"/>
      <c r="M163" s="16"/>
      <c r="N163" s="16"/>
      <c r="O163" s="16"/>
      <c r="P163" s="16"/>
    </row>
    <row r="164" spans="12:16" x14ac:dyDescent="0.2">
      <c r="L164" s="16"/>
      <c r="M164" s="16"/>
      <c r="N164" s="16"/>
      <c r="O164" s="16"/>
      <c r="P164" s="16"/>
    </row>
    <row r="165" spans="12:16" x14ac:dyDescent="0.2">
      <c r="L165" s="16"/>
      <c r="M165" s="16"/>
      <c r="N165" s="16"/>
      <c r="O165" s="16"/>
      <c r="P165" s="16"/>
    </row>
    <row r="166" spans="12:16" x14ac:dyDescent="0.2">
      <c r="L166" s="16"/>
      <c r="M166" s="16"/>
      <c r="N166" s="16"/>
      <c r="O166" s="16"/>
      <c r="P166" s="16"/>
    </row>
    <row r="167" spans="12:16" x14ac:dyDescent="0.2">
      <c r="L167" s="16"/>
      <c r="M167" s="16"/>
      <c r="N167" s="16"/>
      <c r="O167" s="16"/>
      <c r="P167" s="16"/>
    </row>
    <row r="168" spans="12:16" x14ac:dyDescent="0.2">
      <c r="L168" s="16"/>
      <c r="M168" s="16"/>
      <c r="N168" s="16"/>
      <c r="O168" s="16"/>
      <c r="P168" s="16"/>
    </row>
    <row r="169" spans="12:16" x14ac:dyDescent="0.2">
      <c r="L169" s="16"/>
      <c r="M169" s="16"/>
      <c r="N169" s="16"/>
      <c r="O169" s="16"/>
      <c r="P169" s="16"/>
    </row>
    <row r="170" spans="12:16" x14ac:dyDescent="0.2">
      <c r="L170" s="16"/>
      <c r="M170" s="16"/>
      <c r="N170" s="16"/>
      <c r="O170" s="16"/>
      <c r="P170" s="16"/>
    </row>
    <row r="171" spans="12:16" x14ac:dyDescent="0.2">
      <c r="L171" s="16"/>
      <c r="M171" s="16"/>
      <c r="N171" s="16"/>
      <c r="O171" s="16"/>
      <c r="P171" s="16"/>
    </row>
    <row r="172" spans="12:16" x14ac:dyDescent="0.2">
      <c r="L172" s="16"/>
      <c r="M172" s="16"/>
      <c r="N172" s="16"/>
      <c r="O172" s="16"/>
      <c r="P172" s="16"/>
    </row>
    <row r="173" spans="12:16" x14ac:dyDescent="0.2">
      <c r="L173" s="16"/>
      <c r="M173" s="16"/>
      <c r="N173" s="16"/>
      <c r="O173" s="16"/>
      <c r="P173" s="16"/>
    </row>
    <row r="174" spans="12:16" x14ac:dyDescent="0.2">
      <c r="L174" s="16"/>
      <c r="M174" s="16"/>
      <c r="N174" s="16"/>
      <c r="O174" s="16"/>
      <c r="P174" s="16"/>
    </row>
    <row r="175" spans="12:16" x14ac:dyDescent="0.2">
      <c r="L175" s="16"/>
      <c r="M175" s="16"/>
      <c r="N175" s="16"/>
      <c r="O175" s="16"/>
      <c r="P175" s="16"/>
    </row>
    <row r="176" spans="12:16" x14ac:dyDescent="0.2">
      <c r="L176" s="16"/>
      <c r="M176" s="16"/>
      <c r="N176" s="16"/>
      <c r="O176" s="16"/>
      <c r="P176" s="16"/>
    </row>
    <row r="177" spans="12:16" x14ac:dyDescent="0.2">
      <c r="L177" s="16"/>
      <c r="M177" s="16"/>
      <c r="N177" s="16"/>
      <c r="O177" s="16"/>
      <c r="P177" s="16"/>
    </row>
    <row r="178" spans="12:16" x14ac:dyDescent="0.2">
      <c r="L178" s="16"/>
      <c r="M178" s="16"/>
      <c r="N178" s="16"/>
      <c r="O178" s="16"/>
      <c r="P178" s="16"/>
    </row>
    <row r="179" spans="12:16" x14ac:dyDescent="0.2">
      <c r="L179" s="16"/>
      <c r="M179" s="16"/>
      <c r="N179" s="16"/>
      <c r="O179" s="16"/>
      <c r="P179" s="16"/>
    </row>
    <row r="180" spans="12:16" x14ac:dyDescent="0.2">
      <c r="L180" s="16"/>
      <c r="M180" s="16"/>
      <c r="N180" s="16"/>
      <c r="O180" s="16"/>
      <c r="P180" s="16"/>
    </row>
    <row r="181" spans="12:16" x14ac:dyDescent="0.2">
      <c r="L181" s="16"/>
      <c r="M181" s="16"/>
      <c r="N181" s="16"/>
      <c r="O181" s="16"/>
      <c r="P181" s="16"/>
    </row>
    <row r="182" spans="12:16" x14ac:dyDescent="0.2">
      <c r="L182" s="16"/>
      <c r="M182" s="16"/>
      <c r="N182" s="16"/>
      <c r="O182" s="16"/>
      <c r="P182" s="16"/>
    </row>
    <row r="183" spans="12:16" x14ac:dyDescent="0.2">
      <c r="L183" s="16"/>
      <c r="M183" s="16"/>
      <c r="N183" s="16"/>
      <c r="O183" s="16"/>
      <c r="P183" s="16"/>
    </row>
    <row r="184" spans="12:16" x14ac:dyDescent="0.2">
      <c r="L184" s="16"/>
      <c r="M184" s="16"/>
      <c r="N184" s="16"/>
      <c r="O184" s="16"/>
      <c r="P184" s="16"/>
    </row>
    <row r="185" spans="12:16" x14ac:dyDescent="0.2">
      <c r="L185" s="16"/>
      <c r="M185" s="16"/>
      <c r="N185" s="16"/>
      <c r="O185" s="16"/>
      <c r="P185" s="16"/>
    </row>
    <row r="186" spans="12:16" x14ac:dyDescent="0.2">
      <c r="L186" s="16"/>
      <c r="M186" s="16"/>
      <c r="N186" s="16"/>
      <c r="O186" s="16"/>
      <c r="P186" s="16"/>
    </row>
    <row r="187" spans="12:16" x14ac:dyDescent="0.2">
      <c r="L187" s="16"/>
      <c r="M187" s="16"/>
      <c r="N187" s="16"/>
      <c r="O187" s="16"/>
      <c r="P187" s="16"/>
    </row>
    <row r="188" spans="12:16" x14ac:dyDescent="0.2">
      <c r="L188" s="16"/>
      <c r="M188" s="16"/>
      <c r="N188" s="16"/>
      <c r="O188" s="16"/>
      <c r="P188" s="16"/>
    </row>
    <row r="189" spans="12:16" x14ac:dyDescent="0.2">
      <c r="L189" s="16"/>
      <c r="M189" s="16"/>
      <c r="N189" s="16"/>
      <c r="O189" s="16"/>
      <c r="P189" s="16"/>
    </row>
    <row r="190" spans="12:16" x14ac:dyDescent="0.2">
      <c r="L190" s="16"/>
      <c r="M190" s="16"/>
      <c r="N190" s="16"/>
      <c r="O190" s="16"/>
      <c r="P190" s="16"/>
    </row>
    <row r="191" spans="12:16" x14ac:dyDescent="0.2">
      <c r="L191" s="16"/>
      <c r="M191" s="16"/>
      <c r="N191" s="16"/>
      <c r="O191" s="16"/>
      <c r="P191" s="16"/>
    </row>
    <row r="192" spans="12:16" x14ac:dyDescent="0.2">
      <c r="L192" s="16"/>
      <c r="M192" s="16"/>
      <c r="N192" s="16"/>
      <c r="O192" s="16"/>
      <c r="P192" s="16"/>
    </row>
    <row r="193" spans="12:16" x14ac:dyDescent="0.2">
      <c r="L193" s="16"/>
      <c r="M193" s="16"/>
      <c r="N193" s="16"/>
      <c r="O193" s="16"/>
      <c r="P193" s="16"/>
    </row>
    <row r="194" spans="12:16" x14ac:dyDescent="0.2">
      <c r="L194" s="16"/>
      <c r="M194" s="16"/>
      <c r="N194" s="16"/>
      <c r="O194" s="16"/>
      <c r="P194" s="16"/>
    </row>
    <row r="195" spans="12:16" x14ac:dyDescent="0.2">
      <c r="L195" s="16"/>
      <c r="M195" s="16"/>
      <c r="N195" s="16"/>
      <c r="O195" s="16"/>
      <c r="P195" s="16"/>
    </row>
    <row r="196" spans="12:16" x14ac:dyDescent="0.2">
      <c r="L196" s="16"/>
      <c r="M196" s="16"/>
      <c r="N196" s="16"/>
      <c r="O196" s="16"/>
      <c r="P196" s="16"/>
    </row>
    <row r="197" spans="12:16" x14ac:dyDescent="0.2">
      <c r="L197" s="16"/>
      <c r="M197" s="16"/>
      <c r="N197" s="16"/>
      <c r="O197" s="16"/>
      <c r="P197" s="16"/>
    </row>
    <row r="198" spans="12:16" x14ac:dyDescent="0.2">
      <c r="L198" s="16"/>
      <c r="M198" s="16"/>
      <c r="N198" s="16"/>
      <c r="O198" s="16"/>
      <c r="P198" s="16"/>
    </row>
    <row r="199" spans="12:16" x14ac:dyDescent="0.2">
      <c r="L199" s="16"/>
      <c r="M199" s="16"/>
      <c r="N199" s="16"/>
      <c r="O199" s="16"/>
      <c r="P199" s="16"/>
    </row>
    <row r="200" spans="12:16" x14ac:dyDescent="0.2">
      <c r="L200" s="16"/>
      <c r="M200" s="16"/>
      <c r="N200" s="16"/>
      <c r="O200" s="16"/>
      <c r="P200" s="16"/>
    </row>
    <row r="201" spans="12:16" x14ac:dyDescent="0.2">
      <c r="L201" s="16"/>
      <c r="M201" s="16"/>
      <c r="N201" s="16"/>
      <c r="O201" s="16"/>
      <c r="P201" s="16"/>
    </row>
    <row r="202" spans="12:16" x14ac:dyDescent="0.2">
      <c r="L202" s="16"/>
      <c r="M202" s="16"/>
      <c r="N202" s="16"/>
      <c r="O202" s="16"/>
      <c r="P202" s="16"/>
    </row>
    <row r="203" spans="12:16" x14ac:dyDescent="0.2">
      <c r="L203" s="16"/>
      <c r="M203" s="16"/>
      <c r="N203" s="16"/>
      <c r="O203" s="16"/>
      <c r="P203" s="16"/>
    </row>
    <row r="204" spans="12:16" x14ac:dyDescent="0.2">
      <c r="L204" s="16"/>
      <c r="M204" s="16"/>
      <c r="N204" s="16"/>
      <c r="O204" s="16"/>
      <c r="P204" s="16"/>
    </row>
    <row r="205" spans="12:16" x14ac:dyDescent="0.2">
      <c r="L205" s="16"/>
      <c r="M205" s="16"/>
      <c r="N205" s="16"/>
      <c r="O205" s="16"/>
      <c r="P205" s="16"/>
    </row>
    <row r="206" spans="12:16" x14ac:dyDescent="0.2">
      <c r="L206" s="16"/>
      <c r="M206" s="16"/>
      <c r="N206" s="16"/>
      <c r="O206" s="16"/>
      <c r="P206" s="16"/>
    </row>
    <row r="207" spans="12:16" x14ac:dyDescent="0.2">
      <c r="L207" s="16"/>
      <c r="M207" s="16"/>
      <c r="N207" s="16"/>
      <c r="O207" s="16"/>
      <c r="P207" s="16"/>
    </row>
    <row r="208" spans="12:16" x14ac:dyDescent="0.2">
      <c r="L208" s="16"/>
      <c r="M208" s="16"/>
      <c r="N208" s="16"/>
      <c r="O208" s="16"/>
      <c r="P208" s="16"/>
    </row>
    <row r="209" spans="12:16" x14ac:dyDescent="0.2">
      <c r="L209" s="16"/>
      <c r="M209" s="16"/>
      <c r="N209" s="16"/>
      <c r="O209" s="16"/>
      <c r="P209" s="16"/>
    </row>
    <row r="210" spans="12:16" x14ac:dyDescent="0.2">
      <c r="L210" s="16"/>
      <c r="M210" s="16"/>
      <c r="N210" s="16"/>
      <c r="O210" s="16"/>
      <c r="P210" s="16"/>
    </row>
    <row r="211" spans="12:16" x14ac:dyDescent="0.2">
      <c r="L211" s="16"/>
      <c r="M211" s="16"/>
      <c r="N211" s="16"/>
      <c r="O211" s="16"/>
      <c r="P211" s="16"/>
    </row>
    <row r="212" spans="12:16" x14ac:dyDescent="0.2">
      <c r="L212" s="16"/>
      <c r="M212" s="16"/>
      <c r="N212" s="16"/>
      <c r="O212" s="16"/>
      <c r="P212" s="16"/>
    </row>
    <row r="213" spans="12:16" x14ac:dyDescent="0.2">
      <c r="L213" s="16"/>
      <c r="M213" s="16"/>
      <c r="N213" s="16"/>
      <c r="O213" s="16"/>
      <c r="P213" s="16"/>
    </row>
    <row r="214" spans="12:16" x14ac:dyDescent="0.2">
      <c r="L214" s="16"/>
      <c r="M214" s="16"/>
      <c r="N214" s="16"/>
      <c r="O214" s="16"/>
      <c r="P214" s="16"/>
    </row>
    <row r="215" spans="12:16" x14ac:dyDescent="0.2">
      <c r="L215" s="16"/>
      <c r="M215" s="16"/>
      <c r="N215" s="16"/>
      <c r="O215" s="16"/>
      <c r="P215" s="16"/>
    </row>
    <row r="216" spans="12:16" x14ac:dyDescent="0.2">
      <c r="L216" s="16"/>
      <c r="M216" s="16"/>
      <c r="N216" s="16"/>
      <c r="O216" s="16"/>
      <c r="P216" s="16"/>
    </row>
    <row r="217" spans="12:16" x14ac:dyDescent="0.2">
      <c r="L217" s="16"/>
      <c r="M217" s="16"/>
      <c r="N217" s="16"/>
      <c r="O217" s="16"/>
      <c r="P217" s="16"/>
    </row>
    <row r="218" spans="12:16" x14ac:dyDescent="0.2">
      <c r="L218" s="16"/>
      <c r="M218" s="16"/>
      <c r="N218" s="16"/>
      <c r="O218" s="16"/>
      <c r="P218" s="16"/>
    </row>
    <row r="219" spans="12:16" x14ac:dyDescent="0.2">
      <c r="L219" s="16"/>
      <c r="M219" s="16"/>
      <c r="N219" s="16"/>
      <c r="O219" s="16"/>
      <c r="P219" s="16"/>
    </row>
    <row r="220" spans="12:16" x14ac:dyDescent="0.2">
      <c r="L220" s="16"/>
      <c r="M220" s="16"/>
      <c r="N220" s="16"/>
      <c r="O220" s="16"/>
      <c r="P220" s="16"/>
    </row>
    <row r="221" spans="12:16" x14ac:dyDescent="0.2">
      <c r="L221" s="16"/>
      <c r="M221" s="16"/>
      <c r="N221" s="16"/>
      <c r="O221" s="16"/>
      <c r="P221" s="16"/>
    </row>
    <row r="222" spans="12:16" x14ac:dyDescent="0.2">
      <c r="L222" s="16"/>
      <c r="M222" s="16"/>
      <c r="N222" s="16"/>
      <c r="O222" s="16"/>
      <c r="P222" s="16"/>
    </row>
    <row r="223" spans="12:16" x14ac:dyDescent="0.2">
      <c r="L223" s="16"/>
      <c r="M223" s="16"/>
      <c r="N223" s="16"/>
      <c r="O223" s="16"/>
      <c r="P223" s="16"/>
    </row>
    <row r="224" spans="12:16" x14ac:dyDescent="0.2">
      <c r="L224" s="16"/>
      <c r="M224" s="16"/>
      <c r="N224" s="16"/>
      <c r="O224" s="16"/>
      <c r="P224" s="16"/>
    </row>
    <row r="225" spans="12:16" x14ac:dyDescent="0.2">
      <c r="L225" s="16"/>
      <c r="M225" s="16"/>
      <c r="N225" s="16"/>
      <c r="O225" s="16"/>
      <c r="P225" s="16"/>
    </row>
    <row r="226" spans="12:16" x14ac:dyDescent="0.2">
      <c r="L226" s="16"/>
      <c r="M226" s="16"/>
      <c r="N226" s="16"/>
      <c r="O226" s="16"/>
      <c r="P226" s="16"/>
    </row>
    <row r="227" spans="12:16" x14ac:dyDescent="0.2">
      <c r="L227" s="16"/>
      <c r="M227" s="16"/>
      <c r="N227" s="16"/>
      <c r="O227" s="16"/>
      <c r="P227" s="16"/>
    </row>
    <row r="228" spans="12:16" x14ac:dyDescent="0.2">
      <c r="L228" s="16"/>
      <c r="M228" s="16"/>
      <c r="N228" s="16"/>
      <c r="O228" s="16"/>
      <c r="P228" s="16"/>
    </row>
    <row r="229" spans="12:16" x14ac:dyDescent="0.2">
      <c r="L229" s="16"/>
      <c r="M229" s="16"/>
      <c r="N229" s="16"/>
      <c r="O229" s="16"/>
      <c r="P229" s="16"/>
    </row>
    <row r="230" spans="12:16" x14ac:dyDescent="0.2">
      <c r="L230" s="16"/>
      <c r="M230" s="16"/>
      <c r="N230" s="16"/>
      <c r="O230" s="16"/>
      <c r="P230" s="16"/>
    </row>
    <row r="231" spans="12:16" x14ac:dyDescent="0.2">
      <c r="L231" s="16"/>
      <c r="M231" s="16"/>
      <c r="N231" s="16"/>
      <c r="O231" s="16"/>
      <c r="P231" s="16"/>
    </row>
    <row r="232" spans="12:16" x14ac:dyDescent="0.2">
      <c r="L232" s="16"/>
      <c r="M232" s="16"/>
      <c r="N232" s="16"/>
      <c r="O232" s="16"/>
      <c r="P232" s="16"/>
    </row>
    <row r="233" spans="12:16" x14ac:dyDescent="0.2">
      <c r="L233" s="16"/>
      <c r="M233" s="16"/>
      <c r="N233" s="16"/>
      <c r="O233" s="16"/>
      <c r="P233" s="16"/>
    </row>
    <row r="234" spans="12:16" x14ac:dyDescent="0.2">
      <c r="L234" s="16"/>
      <c r="M234" s="16"/>
      <c r="N234" s="16"/>
      <c r="O234" s="16"/>
      <c r="P234" s="16"/>
    </row>
    <row r="235" spans="12:16" x14ac:dyDescent="0.2">
      <c r="L235" s="16"/>
      <c r="M235" s="16"/>
      <c r="N235" s="16"/>
      <c r="O235" s="16"/>
      <c r="P235" s="16"/>
    </row>
    <row r="236" spans="12:16" x14ac:dyDescent="0.2">
      <c r="L236" s="16"/>
      <c r="M236" s="16"/>
      <c r="N236" s="16"/>
      <c r="O236" s="16"/>
      <c r="P236" s="16"/>
    </row>
    <row r="237" spans="12:16" x14ac:dyDescent="0.2">
      <c r="L237" s="16"/>
      <c r="M237" s="16"/>
      <c r="N237" s="16"/>
      <c r="O237" s="16"/>
      <c r="P237" s="16"/>
    </row>
    <row r="238" spans="12:16" x14ac:dyDescent="0.2">
      <c r="L238" s="16"/>
      <c r="M238" s="16"/>
      <c r="N238" s="16"/>
      <c r="O238" s="16"/>
      <c r="P238" s="16"/>
    </row>
    <row r="239" spans="12:16" x14ac:dyDescent="0.2">
      <c r="L239" s="16"/>
      <c r="M239" s="16"/>
      <c r="N239" s="16"/>
      <c r="O239" s="16"/>
      <c r="P239" s="16"/>
    </row>
    <row r="240" spans="12:16" x14ac:dyDescent="0.2">
      <c r="L240" s="16"/>
      <c r="M240" s="16"/>
      <c r="N240" s="16"/>
      <c r="O240" s="16"/>
      <c r="P240" s="16"/>
    </row>
    <row r="241" spans="12:16" x14ac:dyDescent="0.2">
      <c r="L241" s="16"/>
      <c r="M241" s="16"/>
      <c r="N241" s="16"/>
      <c r="O241" s="16"/>
      <c r="P241" s="16"/>
    </row>
    <row r="242" spans="12:16" x14ac:dyDescent="0.2">
      <c r="L242" s="16"/>
      <c r="M242" s="16"/>
      <c r="N242" s="16"/>
      <c r="O242" s="16"/>
      <c r="P242" s="16"/>
    </row>
    <row r="243" spans="12:16" x14ac:dyDescent="0.2">
      <c r="L243" s="16"/>
      <c r="M243" s="16"/>
      <c r="N243" s="16"/>
      <c r="O243" s="16"/>
      <c r="P243" s="16"/>
    </row>
    <row r="244" spans="12:16" x14ac:dyDescent="0.2">
      <c r="L244" s="16"/>
      <c r="M244" s="16"/>
      <c r="N244" s="16"/>
      <c r="O244" s="16"/>
      <c r="P244" s="16"/>
    </row>
    <row r="245" spans="12:16" x14ac:dyDescent="0.2">
      <c r="L245" s="16"/>
      <c r="M245" s="16"/>
      <c r="N245" s="16"/>
      <c r="O245" s="16"/>
      <c r="P245" s="16"/>
    </row>
    <row r="246" spans="12:16" x14ac:dyDescent="0.2">
      <c r="L246" s="16"/>
      <c r="M246" s="16"/>
      <c r="N246" s="16"/>
      <c r="O246" s="16"/>
      <c r="P246" s="16"/>
    </row>
    <row r="247" spans="12:16" x14ac:dyDescent="0.2">
      <c r="L247" s="16"/>
      <c r="M247" s="16"/>
      <c r="N247" s="16"/>
      <c r="O247" s="16"/>
      <c r="P247" s="16"/>
    </row>
    <row r="248" spans="12:16" x14ac:dyDescent="0.2">
      <c r="L248" s="16"/>
      <c r="M248" s="16"/>
      <c r="N248" s="16"/>
      <c r="O248" s="16"/>
      <c r="P248" s="16"/>
    </row>
    <row r="249" spans="12:16" x14ac:dyDescent="0.2">
      <c r="L249" s="16"/>
      <c r="M249" s="16"/>
      <c r="N249" s="16"/>
      <c r="O249" s="16"/>
      <c r="P249" s="16"/>
    </row>
    <row r="250" spans="12:16" x14ac:dyDescent="0.2">
      <c r="L250" s="16"/>
      <c r="M250" s="16"/>
      <c r="N250" s="16"/>
      <c r="O250" s="16"/>
      <c r="P250" s="16"/>
    </row>
    <row r="251" spans="12:16" x14ac:dyDescent="0.2">
      <c r="L251" s="16"/>
      <c r="M251" s="16"/>
      <c r="N251" s="16"/>
      <c r="O251" s="16"/>
      <c r="P251" s="16"/>
    </row>
    <row r="252" spans="12:16" x14ac:dyDescent="0.2">
      <c r="L252" s="16"/>
      <c r="M252" s="16"/>
      <c r="N252" s="16"/>
      <c r="O252" s="16"/>
      <c r="P252" s="16"/>
    </row>
    <row r="253" spans="12:16" x14ac:dyDescent="0.2">
      <c r="L253" s="16"/>
      <c r="M253" s="16"/>
      <c r="N253" s="16"/>
      <c r="O253" s="16"/>
      <c r="P253" s="16"/>
    </row>
    <row r="254" spans="12:16" x14ac:dyDescent="0.2">
      <c r="L254" s="16"/>
      <c r="M254" s="16"/>
      <c r="N254" s="16"/>
      <c r="O254" s="16"/>
      <c r="P254" s="16"/>
    </row>
    <row r="255" spans="12:16" x14ac:dyDescent="0.2">
      <c r="L255" s="16"/>
      <c r="M255" s="16"/>
      <c r="N255" s="16"/>
      <c r="O255" s="16"/>
      <c r="P255" s="16"/>
    </row>
    <row r="256" spans="12:16" x14ac:dyDescent="0.2">
      <c r="L256" s="16"/>
      <c r="M256" s="16"/>
      <c r="N256" s="16"/>
      <c r="O256" s="16"/>
      <c r="P256" s="16"/>
    </row>
    <row r="257" spans="12:16" x14ac:dyDescent="0.2">
      <c r="L257" s="16"/>
      <c r="M257" s="16"/>
      <c r="N257" s="16"/>
      <c r="O257" s="16"/>
      <c r="P257" s="16"/>
    </row>
    <row r="258" spans="12:16" x14ac:dyDescent="0.2">
      <c r="L258" s="16"/>
      <c r="M258" s="16"/>
      <c r="N258" s="16"/>
      <c r="O258" s="16"/>
      <c r="P258" s="16"/>
    </row>
    <row r="259" spans="12:16" x14ac:dyDescent="0.2">
      <c r="L259" s="16"/>
      <c r="M259" s="16"/>
      <c r="N259" s="16"/>
      <c r="O259" s="16"/>
      <c r="P259" s="16"/>
    </row>
    <row r="260" spans="12:16" x14ac:dyDescent="0.2">
      <c r="L260" s="16"/>
      <c r="M260" s="16"/>
      <c r="N260" s="16"/>
      <c r="O260" s="16"/>
      <c r="P260" s="16"/>
    </row>
    <row r="261" spans="12:16" x14ac:dyDescent="0.2">
      <c r="L261" s="16"/>
      <c r="M261" s="16"/>
      <c r="N261" s="16"/>
      <c r="O261" s="16"/>
      <c r="P261" s="16"/>
    </row>
    <row r="262" spans="12:16" x14ac:dyDescent="0.2">
      <c r="L262" s="16"/>
      <c r="M262" s="16"/>
      <c r="N262" s="16"/>
      <c r="O262" s="16"/>
      <c r="P262" s="16"/>
    </row>
    <row r="263" spans="12:16" x14ac:dyDescent="0.2">
      <c r="L263" s="16"/>
      <c r="M263" s="16"/>
      <c r="N263" s="16"/>
      <c r="O263" s="16"/>
      <c r="P263" s="16"/>
    </row>
    <row r="264" spans="12:16" x14ac:dyDescent="0.2">
      <c r="L264" s="16"/>
      <c r="M264" s="16"/>
      <c r="N264" s="16"/>
      <c r="O264" s="16"/>
      <c r="P264" s="16"/>
    </row>
    <row r="265" spans="12:16" x14ac:dyDescent="0.2">
      <c r="L265" s="16"/>
      <c r="M265" s="16"/>
      <c r="N265" s="16"/>
      <c r="O265" s="16"/>
      <c r="P265" s="16"/>
    </row>
    <row r="266" spans="12:16" x14ac:dyDescent="0.2">
      <c r="L266" s="16"/>
      <c r="M266" s="16"/>
      <c r="N266" s="16"/>
      <c r="O266" s="16"/>
      <c r="P266" s="16"/>
    </row>
    <row r="267" spans="12:16" x14ac:dyDescent="0.2">
      <c r="L267" s="16"/>
      <c r="M267" s="16"/>
      <c r="N267" s="16"/>
      <c r="O267" s="16"/>
      <c r="P267" s="16"/>
    </row>
    <row r="268" spans="12:16" x14ac:dyDescent="0.2">
      <c r="L268" s="16"/>
      <c r="M268" s="16"/>
      <c r="N268" s="16"/>
      <c r="O268" s="16"/>
      <c r="P268" s="16"/>
    </row>
    <row r="269" spans="12:16" x14ac:dyDescent="0.2">
      <c r="L269" s="16"/>
      <c r="M269" s="16"/>
      <c r="N269" s="16"/>
      <c r="O269" s="16"/>
      <c r="P269" s="16"/>
    </row>
    <row r="270" spans="12:16" x14ac:dyDescent="0.2">
      <c r="L270" s="16"/>
      <c r="M270" s="16"/>
      <c r="N270" s="16"/>
      <c r="O270" s="16"/>
      <c r="P270" s="16"/>
    </row>
    <row r="271" spans="12:16" x14ac:dyDescent="0.2">
      <c r="L271" s="16"/>
      <c r="M271" s="16"/>
      <c r="N271" s="16"/>
      <c r="O271" s="16"/>
      <c r="P271" s="16"/>
    </row>
    <row r="272" spans="12:16" x14ac:dyDescent="0.2">
      <c r="L272" s="16"/>
      <c r="M272" s="16"/>
      <c r="N272" s="16"/>
      <c r="O272" s="16"/>
      <c r="P272" s="16"/>
    </row>
    <row r="273" spans="12:16" x14ac:dyDescent="0.2">
      <c r="L273" s="16"/>
      <c r="M273" s="16"/>
      <c r="N273" s="16"/>
      <c r="O273" s="16"/>
      <c r="P273" s="16"/>
    </row>
    <row r="274" spans="12:16" x14ac:dyDescent="0.2">
      <c r="L274" s="16"/>
      <c r="M274" s="16"/>
      <c r="N274" s="16"/>
      <c r="O274" s="16"/>
      <c r="P274" s="16"/>
    </row>
    <row r="275" spans="12:16" x14ac:dyDescent="0.2">
      <c r="L275" s="16"/>
      <c r="M275" s="16"/>
      <c r="N275" s="16"/>
      <c r="O275" s="16"/>
      <c r="P275" s="16"/>
    </row>
    <row r="276" spans="12:16" x14ac:dyDescent="0.2">
      <c r="L276" s="16"/>
      <c r="M276" s="16"/>
      <c r="N276" s="16"/>
      <c r="O276" s="16"/>
      <c r="P276" s="16"/>
    </row>
    <row r="277" spans="12:16" x14ac:dyDescent="0.2">
      <c r="L277" s="16"/>
      <c r="M277" s="16"/>
      <c r="N277" s="16"/>
      <c r="O277" s="16"/>
      <c r="P277" s="16"/>
    </row>
    <row r="278" spans="12:16" x14ac:dyDescent="0.2">
      <c r="L278" s="16"/>
      <c r="M278" s="16"/>
      <c r="N278" s="16"/>
      <c r="O278" s="16"/>
      <c r="P278" s="16"/>
    </row>
    <row r="279" spans="12:16" x14ac:dyDescent="0.2">
      <c r="L279" s="16"/>
      <c r="M279" s="16"/>
      <c r="N279" s="16"/>
      <c r="O279" s="16"/>
      <c r="P279" s="16"/>
    </row>
    <row r="280" spans="12:16" x14ac:dyDescent="0.2">
      <c r="L280" s="16"/>
      <c r="M280" s="16"/>
      <c r="N280" s="16"/>
      <c r="O280" s="16"/>
      <c r="P280" s="16"/>
    </row>
    <row r="281" spans="12:16" x14ac:dyDescent="0.2">
      <c r="L281" s="16"/>
      <c r="M281" s="16"/>
      <c r="N281" s="16"/>
      <c r="O281" s="16"/>
      <c r="P281" s="16"/>
    </row>
    <row r="282" spans="12:16" x14ac:dyDescent="0.2">
      <c r="L282" s="16"/>
      <c r="M282" s="16"/>
      <c r="N282" s="16"/>
      <c r="O282" s="16"/>
      <c r="P282" s="16"/>
    </row>
    <row r="283" spans="12:16" x14ac:dyDescent="0.2">
      <c r="L283" s="16"/>
      <c r="M283" s="16"/>
      <c r="N283" s="16"/>
      <c r="O283" s="16"/>
      <c r="P283" s="16"/>
    </row>
    <row r="284" spans="12:16" x14ac:dyDescent="0.2">
      <c r="L284" s="16"/>
      <c r="M284" s="16"/>
      <c r="N284" s="16"/>
      <c r="O284" s="16"/>
      <c r="P284" s="16"/>
    </row>
    <row r="285" spans="12:16" x14ac:dyDescent="0.2">
      <c r="L285" s="16"/>
      <c r="M285" s="16"/>
      <c r="N285" s="16"/>
      <c r="O285" s="16"/>
      <c r="P285" s="16"/>
    </row>
    <row r="286" spans="12:16" x14ac:dyDescent="0.2">
      <c r="L286" s="16"/>
      <c r="M286" s="16"/>
      <c r="N286" s="16"/>
      <c r="O286" s="16"/>
      <c r="P286" s="16"/>
    </row>
    <row r="287" spans="12:16" x14ac:dyDescent="0.2">
      <c r="L287" s="16"/>
      <c r="M287" s="16"/>
      <c r="N287" s="16"/>
      <c r="O287" s="16"/>
      <c r="P287" s="16"/>
    </row>
    <row r="288" spans="12:16" x14ac:dyDescent="0.2">
      <c r="L288" s="16"/>
      <c r="M288" s="16"/>
      <c r="N288" s="16"/>
      <c r="O288" s="16"/>
      <c r="P288" s="16"/>
    </row>
    <row r="289" spans="12:16" x14ac:dyDescent="0.2">
      <c r="L289" s="16"/>
      <c r="M289" s="16"/>
      <c r="N289" s="16"/>
      <c r="O289" s="16"/>
      <c r="P289" s="16"/>
    </row>
    <row r="290" spans="12:16" x14ac:dyDescent="0.2">
      <c r="L290" s="16"/>
      <c r="M290" s="16"/>
      <c r="N290" s="16"/>
      <c r="O290" s="16"/>
      <c r="P290" s="16"/>
    </row>
    <row r="291" spans="12:16" x14ac:dyDescent="0.2">
      <c r="L291" s="16"/>
      <c r="M291" s="16"/>
      <c r="N291" s="16"/>
      <c r="O291" s="16"/>
      <c r="P291" s="16"/>
    </row>
    <row r="292" spans="12:16" x14ac:dyDescent="0.2">
      <c r="L292" s="16"/>
      <c r="M292" s="16"/>
      <c r="N292" s="16"/>
      <c r="O292" s="16"/>
      <c r="P292" s="16"/>
    </row>
    <row r="293" spans="12:16" x14ac:dyDescent="0.2">
      <c r="L293" s="16"/>
      <c r="M293" s="16"/>
      <c r="N293" s="16"/>
      <c r="O293" s="16"/>
      <c r="P293" s="16"/>
    </row>
    <row r="294" spans="12:16" x14ac:dyDescent="0.2">
      <c r="L294" s="16"/>
      <c r="M294" s="16"/>
      <c r="N294" s="16"/>
      <c r="O294" s="16"/>
      <c r="P294" s="16"/>
    </row>
    <row r="295" spans="12:16" x14ac:dyDescent="0.2">
      <c r="L295" s="16"/>
      <c r="M295" s="16"/>
      <c r="N295" s="16"/>
      <c r="O295" s="16"/>
      <c r="P295" s="16"/>
    </row>
    <row r="296" spans="12:16" x14ac:dyDescent="0.2">
      <c r="L296" s="16"/>
      <c r="M296" s="16"/>
      <c r="N296" s="16"/>
      <c r="O296" s="16"/>
      <c r="P296" s="16"/>
    </row>
    <row r="297" spans="12:16" x14ac:dyDescent="0.2">
      <c r="L297" s="16"/>
      <c r="M297" s="16"/>
      <c r="N297" s="16"/>
      <c r="O297" s="16"/>
      <c r="P297" s="16"/>
    </row>
    <row r="298" spans="12:16" x14ac:dyDescent="0.2">
      <c r="L298" s="16"/>
      <c r="M298" s="16"/>
      <c r="N298" s="16"/>
      <c r="O298" s="16"/>
      <c r="P298" s="16"/>
    </row>
    <row r="299" spans="12:16" x14ac:dyDescent="0.2">
      <c r="L299" s="16"/>
      <c r="M299" s="16"/>
      <c r="N299" s="16"/>
      <c r="O299" s="16"/>
      <c r="P299" s="16"/>
    </row>
    <row r="300" spans="12:16" x14ac:dyDescent="0.2">
      <c r="L300" s="16"/>
      <c r="M300" s="16"/>
      <c r="N300" s="16"/>
      <c r="O300" s="16"/>
      <c r="P300" s="16"/>
    </row>
    <row r="301" spans="12:16" x14ac:dyDescent="0.2">
      <c r="L301" s="16"/>
      <c r="M301" s="16"/>
      <c r="N301" s="16"/>
      <c r="O301" s="16"/>
      <c r="P301" s="16"/>
    </row>
    <row r="302" spans="12:16" x14ac:dyDescent="0.2">
      <c r="L302" s="16"/>
      <c r="M302" s="16"/>
      <c r="N302" s="16"/>
      <c r="O302" s="16"/>
      <c r="P302" s="16"/>
    </row>
    <row r="303" spans="12:16" x14ac:dyDescent="0.2">
      <c r="L303" s="16"/>
      <c r="M303" s="16"/>
      <c r="N303" s="16"/>
      <c r="O303" s="16"/>
      <c r="P303" s="16"/>
    </row>
    <row r="304" spans="12:16" x14ac:dyDescent="0.2">
      <c r="L304" s="16"/>
      <c r="M304" s="16"/>
      <c r="N304" s="16"/>
      <c r="O304" s="16"/>
      <c r="P304" s="16"/>
    </row>
    <row r="305" spans="12:16" x14ac:dyDescent="0.2">
      <c r="L305" s="16"/>
      <c r="M305" s="16"/>
      <c r="N305" s="16"/>
      <c r="O305" s="16"/>
      <c r="P305" s="16"/>
    </row>
    <row r="306" spans="12:16" x14ac:dyDescent="0.2">
      <c r="L306" s="16"/>
      <c r="M306" s="16"/>
      <c r="N306" s="16"/>
      <c r="O306" s="16"/>
      <c r="P306" s="16"/>
    </row>
    <row r="307" spans="12:16" x14ac:dyDescent="0.2">
      <c r="L307" s="16"/>
      <c r="M307" s="16"/>
      <c r="N307" s="16"/>
      <c r="O307" s="16"/>
      <c r="P307" s="16"/>
    </row>
    <row r="308" spans="12:16" x14ac:dyDescent="0.2">
      <c r="L308" s="16"/>
      <c r="M308" s="16"/>
      <c r="N308" s="16"/>
      <c r="O308" s="16"/>
      <c r="P308" s="16"/>
    </row>
    <row r="309" spans="12:16" x14ac:dyDescent="0.2">
      <c r="L309" s="16"/>
      <c r="M309" s="16"/>
      <c r="N309" s="16"/>
      <c r="O309" s="16"/>
      <c r="P309" s="16"/>
    </row>
    <row r="310" spans="12:16" x14ac:dyDescent="0.2">
      <c r="L310" s="16"/>
      <c r="M310" s="16"/>
      <c r="N310" s="16"/>
      <c r="O310" s="16"/>
      <c r="P310" s="16"/>
    </row>
    <row r="311" spans="12:16" x14ac:dyDescent="0.2">
      <c r="L311" s="16"/>
      <c r="M311" s="16"/>
      <c r="N311" s="16"/>
      <c r="O311" s="16"/>
      <c r="P311" s="16"/>
    </row>
    <row r="312" spans="12:16" x14ac:dyDescent="0.2">
      <c r="L312" s="16"/>
      <c r="M312" s="16"/>
      <c r="N312" s="16"/>
      <c r="O312" s="16"/>
      <c r="P312" s="16"/>
    </row>
    <row r="313" spans="12:16" x14ac:dyDescent="0.2">
      <c r="L313" s="16"/>
      <c r="M313" s="16"/>
      <c r="N313" s="16"/>
      <c r="O313" s="16"/>
      <c r="P313" s="16"/>
    </row>
    <row r="314" spans="12:16" x14ac:dyDescent="0.2">
      <c r="L314" s="16"/>
      <c r="M314" s="16"/>
      <c r="N314" s="16"/>
      <c r="O314" s="16"/>
      <c r="P314" s="16"/>
    </row>
    <row r="315" spans="12:16" x14ac:dyDescent="0.2">
      <c r="L315" s="16"/>
      <c r="M315" s="16"/>
      <c r="N315" s="16"/>
      <c r="O315" s="16"/>
      <c r="P315" s="16"/>
    </row>
    <row r="316" spans="12:16" x14ac:dyDescent="0.2">
      <c r="L316" s="16"/>
      <c r="M316" s="16"/>
      <c r="N316" s="16"/>
      <c r="O316" s="16"/>
      <c r="P316" s="16"/>
    </row>
    <row r="317" spans="12:16" x14ac:dyDescent="0.2">
      <c r="L317" s="16"/>
      <c r="M317" s="16"/>
      <c r="N317" s="16"/>
      <c r="O317" s="16"/>
      <c r="P317" s="16"/>
    </row>
    <row r="318" spans="12:16" x14ac:dyDescent="0.2">
      <c r="L318" s="16"/>
      <c r="M318" s="16"/>
      <c r="N318" s="16"/>
      <c r="O318" s="16"/>
      <c r="P318" s="16"/>
    </row>
    <row r="319" spans="12:16" x14ac:dyDescent="0.2">
      <c r="L319" s="16"/>
      <c r="M319" s="16"/>
      <c r="N319" s="16"/>
      <c r="O319" s="16"/>
      <c r="P319" s="16"/>
    </row>
    <row r="320" spans="12:16" x14ac:dyDescent="0.2">
      <c r="L320" s="16"/>
      <c r="M320" s="16"/>
      <c r="N320" s="16"/>
      <c r="O320" s="16"/>
      <c r="P320" s="16"/>
    </row>
    <row r="321" spans="12:16" x14ac:dyDescent="0.2">
      <c r="L321" s="16"/>
      <c r="M321" s="16"/>
      <c r="N321" s="16"/>
      <c r="O321" s="16"/>
      <c r="P321" s="16"/>
    </row>
    <row r="322" spans="12:16" x14ac:dyDescent="0.2">
      <c r="L322" s="16"/>
      <c r="M322" s="16"/>
      <c r="N322" s="16"/>
      <c r="O322" s="16"/>
      <c r="P322" s="16"/>
    </row>
    <row r="323" spans="12:16" x14ac:dyDescent="0.2">
      <c r="L323" s="16"/>
      <c r="M323" s="16"/>
      <c r="N323" s="16"/>
      <c r="O323" s="16"/>
      <c r="P323" s="16"/>
    </row>
    <row r="324" spans="12:16" x14ac:dyDescent="0.2">
      <c r="L324" s="16"/>
      <c r="M324" s="16"/>
      <c r="N324" s="16"/>
      <c r="O324" s="16"/>
      <c r="P324" s="16"/>
    </row>
    <row r="325" spans="12:16" x14ac:dyDescent="0.2">
      <c r="L325" s="16"/>
      <c r="M325" s="16"/>
      <c r="N325" s="16"/>
      <c r="O325" s="16"/>
      <c r="P325" s="16"/>
    </row>
    <row r="326" spans="12:16" x14ac:dyDescent="0.2">
      <c r="L326" s="16"/>
      <c r="M326" s="16"/>
      <c r="N326" s="16"/>
      <c r="O326" s="16"/>
      <c r="P326" s="16"/>
    </row>
    <row r="327" spans="12:16" x14ac:dyDescent="0.2">
      <c r="L327" s="16"/>
      <c r="M327" s="16"/>
      <c r="N327" s="16"/>
      <c r="O327" s="16"/>
      <c r="P327" s="16"/>
    </row>
    <row r="328" spans="12:16" x14ac:dyDescent="0.2">
      <c r="L328" s="16"/>
      <c r="M328" s="16"/>
      <c r="N328" s="16"/>
      <c r="O328" s="16"/>
      <c r="P328" s="16"/>
    </row>
    <row r="329" spans="12:16" x14ac:dyDescent="0.2">
      <c r="L329" s="16"/>
      <c r="M329" s="16"/>
      <c r="N329" s="16"/>
      <c r="O329" s="16"/>
      <c r="P329" s="16"/>
    </row>
    <row r="330" spans="12:16" x14ac:dyDescent="0.2">
      <c r="L330" s="16"/>
      <c r="M330" s="16"/>
      <c r="N330" s="16"/>
      <c r="O330" s="16"/>
      <c r="P330" s="16"/>
    </row>
    <row r="331" spans="12:16" x14ac:dyDescent="0.2">
      <c r="L331" s="16"/>
      <c r="M331" s="16"/>
      <c r="N331" s="16"/>
      <c r="O331" s="16"/>
      <c r="P331" s="16"/>
    </row>
    <row r="332" spans="12:16" x14ac:dyDescent="0.2">
      <c r="L332" s="16"/>
      <c r="M332" s="16"/>
      <c r="N332" s="16"/>
      <c r="O332" s="16"/>
      <c r="P332" s="16"/>
    </row>
    <row r="333" spans="12:16" x14ac:dyDescent="0.2">
      <c r="L333" s="16"/>
      <c r="M333" s="16"/>
      <c r="N333" s="16"/>
      <c r="O333" s="16"/>
      <c r="P333" s="16"/>
    </row>
    <row r="334" spans="12:16" x14ac:dyDescent="0.2">
      <c r="L334" s="16"/>
      <c r="M334" s="16"/>
      <c r="N334" s="16"/>
      <c r="O334" s="16"/>
      <c r="P334" s="16"/>
    </row>
    <row r="335" spans="12:16" x14ac:dyDescent="0.2">
      <c r="L335" s="16"/>
      <c r="M335" s="16"/>
      <c r="N335" s="16"/>
      <c r="O335" s="16"/>
      <c r="P335" s="16"/>
    </row>
    <row r="336" spans="12:16" x14ac:dyDescent="0.2">
      <c r="L336" s="16"/>
      <c r="M336" s="16"/>
      <c r="N336" s="16"/>
      <c r="O336" s="16"/>
      <c r="P336" s="16"/>
    </row>
    <row r="337" spans="12:16" x14ac:dyDescent="0.2">
      <c r="L337" s="16"/>
      <c r="M337" s="16"/>
      <c r="N337" s="16"/>
      <c r="O337" s="16"/>
      <c r="P337" s="16"/>
    </row>
    <row r="338" spans="12:16" x14ac:dyDescent="0.2">
      <c r="L338" s="16"/>
      <c r="M338" s="16"/>
      <c r="N338" s="16"/>
      <c r="O338" s="16"/>
      <c r="P338" s="16"/>
    </row>
    <row r="339" spans="12:16" x14ac:dyDescent="0.2">
      <c r="L339" s="16"/>
      <c r="M339" s="16"/>
      <c r="N339" s="16"/>
      <c r="O339" s="16"/>
      <c r="P339" s="16"/>
    </row>
    <row r="340" spans="12:16" x14ac:dyDescent="0.2">
      <c r="L340" s="16"/>
      <c r="M340" s="16"/>
      <c r="N340" s="16"/>
      <c r="O340" s="16"/>
      <c r="P340" s="16"/>
    </row>
    <row r="341" spans="12:16" x14ac:dyDescent="0.2">
      <c r="L341" s="16"/>
      <c r="M341" s="16"/>
      <c r="N341" s="16"/>
      <c r="O341" s="16"/>
      <c r="P341" s="16"/>
    </row>
    <row r="342" spans="12:16" x14ac:dyDescent="0.2">
      <c r="L342" s="16"/>
      <c r="M342" s="16"/>
      <c r="N342" s="16"/>
      <c r="O342" s="16"/>
      <c r="P342" s="16"/>
    </row>
    <row r="343" spans="12:16" x14ac:dyDescent="0.2">
      <c r="L343" s="16"/>
      <c r="M343" s="16"/>
      <c r="N343" s="16"/>
      <c r="O343" s="16"/>
      <c r="P343" s="16"/>
    </row>
    <row r="344" spans="12:16" x14ac:dyDescent="0.2">
      <c r="L344" s="16"/>
      <c r="M344" s="16"/>
      <c r="N344" s="16"/>
      <c r="O344" s="16"/>
      <c r="P344" s="16"/>
    </row>
    <row r="345" spans="12:16" x14ac:dyDescent="0.2">
      <c r="L345" s="16"/>
      <c r="M345" s="16"/>
      <c r="N345" s="16"/>
      <c r="O345" s="16"/>
      <c r="P345" s="16"/>
    </row>
    <row r="346" spans="12:16" x14ac:dyDescent="0.2">
      <c r="L346" s="16"/>
      <c r="M346" s="16"/>
      <c r="N346" s="16"/>
      <c r="O346" s="16"/>
      <c r="P346" s="16"/>
    </row>
    <row r="347" spans="12:16" x14ac:dyDescent="0.2">
      <c r="L347" s="16"/>
      <c r="M347" s="16"/>
      <c r="N347" s="16"/>
      <c r="O347" s="16"/>
      <c r="P347" s="16"/>
    </row>
    <row r="348" spans="12:16" x14ac:dyDescent="0.2">
      <c r="L348" s="16"/>
      <c r="M348" s="16"/>
      <c r="N348" s="16"/>
      <c r="O348" s="16"/>
      <c r="P348" s="16"/>
    </row>
    <row r="349" spans="12:16" x14ac:dyDescent="0.2">
      <c r="L349" s="16"/>
      <c r="M349" s="16"/>
      <c r="N349" s="16"/>
      <c r="O349" s="16"/>
      <c r="P349" s="16"/>
    </row>
    <row r="350" spans="12:16" x14ac:dyDescent="0.2">
      <c r="L350" s="16"/>
      <c r="M350" s="16"/>
      <c r="N350" s="16"/>
      <c r="O350" s="16"/>
      <c r="P350" s="16"/>
    </row>
    <row r="351" spans="12:16" x14ac:dyDescent="0.2">
      <c r="L351" s="16"/>
      <c r="M351" s="16"/>
      <c r="N351" s="16"/>
      <c r="O351" s="16"/>
      <c r="P351" s="16"/>
    </row>
    <row r="352" spans="12:16" x14ac:dyDescent="0.2">
      <c r="L352" s="16"/>
      <c r="M352" s="16"/>
      <c r="N352" s="16"/>
      <c r="O352" s="16"/>
      <c r="P352" s="16"/>
    </row>
    <row r="353" spans="12:16" x14ac:dyDescent="0.2">
      <c r="L353" s="16"/>
      <c r="M353" s="16"/>
      <c r="N353" s="16"/>
      <c r="O353" s="16"/>
      <c r="P353" s="16"/>
    </row>
    <row r="354" spans="12:16" x14ac:dyDescent="0.2">
      <c r="L354" s="16"/>
      <c r="M354" s="16"/>
      <c r="N354" s="16"/>
      <c r="O354" s="16"/>
      <c r="P354" s="16"/>
    </row>
    <row r="355" spans="12:16" x14ac:dyDescent="0.2">
      <c r="L355" s="16"/>
      <c r="M355" s="16"/>
      <c r="N355" s="16"/>
      <c r="O355" s="16"/>
      <c r="P355" s="16"/>
    </row>
    <row r="356" spans="12:16" x14ac:dyDescent="0.2">
      <c r="L356" s="16"/>
      <c r="M356" s="16"/>
      <c r="N356" s="16"/>
      <c r="O356" s="16"/>
      <c r="P356" s="16"/>
    </row>
    <row r="357" spans="12:16" x14ac:dyDescent="0.2">
      <c r="L357" s="16"/>
      <c r="M357" s="16"/>
      <c r="N357" s="16"/>
      <c r="O357" s="16"/>
      <c r="P357" s="16"/>
    </row>
    <row r="358" spans="12:16" x14ac:dyDescent="0.2">
      <c r="L358" s="16"/>
      <c r="M358" s="16"/>
      <c r="N358" s="16"/>
      <c r="O358" s="16"/>
      <c r="P358" s="16"/>
    </row>
    <row r="359" spans="12:16" x14ac:dyDescent="0.2">
      <c r="L359" s="16"/>
      <c r="M359" s="16"/>
      <c r="N359" s="16"/>
      <c r="O359" s="16"/>
      <c r="P359" s="16"/>
    </row>
    <row r="360" spans="12:16" x14ac:dyDescent="0.2">
      <c r="L360" s="16"/>
      <c r="M360" s="16"/>
      <c r="N360" s="16"/>
      <c r="O360" s="16"/>
      <c r="P360" s="16"/>
    </row>
    <row r="361" spans="12:16" x14ac:dyDescent="0.2">
      <c r="L361" s="16"/>
      <c r="M361" s="16"/>
      <c r="N361" s="16"/>
      <c r="O361" s="16"/>
      <c r="P361" s="16"/>
    </row>
    <row r="362" spans="12:16" x14ac:dyDescent="0.2">
      <c r="L362" s="16"/>
      <c r="M362" s="16"/>
      <c r="N362" s="16"/>
      <c r="O362" s="16"/>
      <c r="P362" s="16"/>
    </row>
    <row r="363" spans="12:16" x14ac:dyDescent="0.2">
      <c r="L363" s="16"/>
      <c r="M363" s="16"/>
      <c r="N363" s="16"/>
      <c r="O363" s="16"/>
      <c r="P363" s="16"/>
    </row>
    <row r="364" spans="12:16" x14ac:dyDescent="0.2">
      <c r="L364" s="16"/>
      <c r="M364" s="16"/>
      <c r="N364" s="16"/>
      <c r="O364" s="16"/>
      <c r="P364" s="16"/>
    </row>
    <row r="365" spans="12:16" x14ac:dyDescent="0.2">
      <c r="L365" s="16"/>
      <c r="M365" s="16"/>
      <c r="N365" s="16"/>
      <c r="O365" s="16"/>
      <c r="P365" s="16"/>
    </row>
    <row r="366" spans="12:16" x14ac:dyDescent="0.2">
      <c r="L366" s="16"/>
      <c r="M366" s="16"/>
      <c r="N366" s="16"/>
      <c r="O366" s="16"/>
      <c r="P366" s="16"/>
    </row>
    <row r="367" spans="12:16" x14ac:dyDescent="0.2">
      <c r="L367" s="16"/>
      <c r="M367" s="16"/>
      <c r="N367" s="16"/>
      <c r="O367" s="16"/>
      <c r="P367" s="16"/>
    </row>
    <row r="368" spans="12:16" x14ac:dyDescent="0.2">
      <c r="L368" s="16"/>
      <c r="M368" s="16"/>
      <c r="N368" s="16"/>
      <c r="O368" s="16"/>
      <c r="P368" s="16"/>
    </row>
    <row r="369" spans="12:16" x14ac:dyDescent="0.2">
      <c r="L369" s="16"/>
      <c r="M369" s="16"/>
      <c r="N369" s="16"/>
      <c r="O369" s="16"/>
      <c r="P369" s="16"/>
    </row>
    <row r="370" spans="12:16" x14ac:dyDescent="0.2">
      <c r="L370" s="16"/>
      <c r="M370" s="16"/>
      <c r="N370" s="16"/>
      <c r="O370" s="16"/>
      <c r="P370" s="16"/>
    </row>
    <row r="371" spans="12:16" x14ac:dyDescent="0.2">
      <c r="L371" s="16"/>
      <c r="M371" s="16"/>
      <c r="N371" s="16"/>
      <c r="O371" s="16"/>
      <c r="P371" s="16"/>
    </row>
    <row r="372" spans="12:16" x14ac:dyDescent="0.2">
      <c r="L372" s="16"/>
      <c r="M372" s="16"/>
      <c r="N372" s="16"/>
      <c r="O372" s="16"/>
      <c r="P372" s="16"/>
    </row>
    <row r="373" spans="12:16" x14ac:dyDescent="0.2">
      <c r="L373" s="16"/>
      <c r="M373" s="16"/>
      <c r="N373" s="16"/>
      <c r="O373" s="16"/>
      <c r="P373" s="16"/>
    </row>
    <row r="374" spans="12:16" x14ac:dyDescent="0.2">
      <c r="L374" s="16"/>
      <c r="M374" s="16"/>
      <c r="N374" s="16"/>
      <c r="O374" s="16"/>
      <c r="P374" s="16"/>
    </row>
    <row r="375" spans="12:16" x14ac:dyDescent="0.2">
      <c r="L375" s="16"/>
      <c r="M375" s="16"/>
      <c r="N375" s="16"/>
      <c r="O375" s="16"/>
      <c r="P375" s="16"/>
    </row>
    <row r="376" spans="12:16" x14ac:dyDescent="0.2">
      <c r="L376" s="16"/>
      <c r="M376" s="16"/>
      <c r="N376" s="16"/>
      <c r="O376" s="16"/>
      <c r="P376" s="16"/>
    </row>
    <row r="377" spans="12:16" x14ac:dyDescent="0.2">
      <c r="L377" s="16"/>
      <c r="M377" s="16"/>
      <c r="N377" s="16"/>
      <c r="O377" s="16"/>
      <c r="P377" s="16"/>
    </row>
    <row r="378" spans="12:16" x14ac:dyDescent="0.2">
      <c r="L378" s="16"/>
      <c r="M378" s="16"/>
      <c r="N378" s="16"/>
      <c r="O378" s="16"/>
      <c r="P378" s="16"/>
    </row>
    <row r="379" spans="12:16" x14ac:dyDescent="0.2">
      <c r="L379" s="16"/>
      <c r="M379" s="16"/>
      <c r="N379" s="16"/>
      <c r="O379" s="16"/>
      <c r="P379" s="16"/>
    </row>
    <row r="380" spans="12:16" x14ac:dyDescent="0.2">
      <c r="L380" s="16"/>
      <c r="M380" s="16"/>
      <c r="N380" s="16"/>
      <c r="O380" s="16"/>
      <c r="P380" s="16"/>
    </row>
    <row r="381" spans="12:16" x14ac:dyDescent="0.2">
      <c r="L381" s="16"/>
      <c r="M381" s="16"/>
      <c r="N381" s="16"/>
      <c r="O381" s="16"/>
      <c r="P381" s="16"/>
    </row>
    <row r="382" spans="12:16" x14ac:dyDescent="0.2">
      <c r="L382" s="16"/>
      <c r="M382" s="16"/>
      <c r="N382" s="16"/>
      <c r="O382" s="16"/>
      <c r="P382" s="16"/>
    </row>
    <row r="383" spans="12:16" x14ac:dyDescent="0.2">
      <c r="L383" s="16"/>
      <c r="M383" s="16"/>
      <c r="N383" s="16"/>
      <c r="O383" s="16"/>
      <c r="P383" s="16"/>
    </row>
    <row r="384" spans="12:16" x14ac:dyDescent="0.2">
      <c r="L384" s="16"/>
      <c r="M384" s="16"/>
      <c r="N384" s="16"/>
      <c r="O384" s="16"/>
      <c r="P384" s="16"/>
    </row>
    <row r="385" spans="12:16" x14ac:dyDescent="0.2">
      <c r="L385" s="16"/>
      <c r="M385" s="16"/>
      <c r="N385" s="16"/>
      <c r="O385" s="16"/>
      <c r="P385" s="16"/>
    </row>
    <row r="386" spans="12:16" x14ac:dyDescent="0.2">
      <c r="L386" s="16"/>
      <c r="M386" s="16"/>
      <c r="N386" s="16"/>
      <c r="O386" s="16"/>
      <c r="P386" s="16"/>
    </row>
    <row r="387" spans="12:16" x14ac:dyDescent="0.2">
      <c r="L387" s="16"/>
      <c r="M387" s="16"/>
      <c r="N387" s="16"/>
      <c r="O387" s="16"/>
      <c r="P387" s="16"/>
    </row>
    <row r="388" spans="12:16" x14ac:dyDescent="0.2">
      <c r="L388" s="16"/>
      <c r="M388" s="16"/>
      <c r="N388" s="16"/>
      <c r="O388" s="16"/>
      <c r="P388" s="16"/>
    </row>
    <row r="389" spans="12:16" x14ac:dyDescent="0.2">
      <c r="L389" s="16"/>
      <c r="M389" s="16"/>
      <c r="N389" s="16"/>
      <c r="O389" s="16"/>
      <c r="P389" s="16"/>
    </row>
    <row r="390" spans="12:16" x14ac:dyDescent="0.2">
      <c r="L390" s="16"/>
      <c r="M390" s="16"/>
      <c r="N390" s="16"/>
      <c r="O390" s="16"/>
      <c r="P390" s="16"/>
    </row>
    <row r="391" spans="12:16" x14ac:dyDescent="0.2">
      <c r="L391" s="16"/>
      <c r="M391" s="16"/>
      <c r="N391" s="16"/>
      <c r="O391" s="16"/>
      <c r="P391" s="16"/>
    </row>
    <row r="392" spans="12:16" x14ac:dyDescent="0.2">
      <c r="L392" s="16"/>
      <c r="M392" s="16"/>
      <c r="N392" s="16"/>
      <c r="O392" s="16"/>
      <c r="P392" s="16"/>
    </row>
    <row r="393" spans="12:16" x14ac:dyDescent="0.2">
      <c r="L393" s="16"/>
      <c r="M393" s="16"/>
      <c r="N393" s="16"/>
      <c r="O393" s="16"/>
      <c r="P393" s="16"/>
    </row>
    <row r="394" spans="12:16" x14ac:dyDescent="0.2">
      <c r="L394" s="16"/>
      <c r="M394" s="16"/>
      <c r="N394" s="16"/>
      <c r="O394" s="16"/>
      <c r="P394" s="16"/>
    </row>
    <row r="395" spans="12:16" x14ac:dyDescent="0.2">
      <c r="L395" s="16"/>
      <c r="M395" s="16"/>
      <c r="N395" s="16"/>
      <c r="O395" s="16"/>
      <c r="P395" s="16"/>
    </row>
    <row r="396" spans="12:16" x14ac:dyDescent="0.2">
      <c r="L396" s="16"/>
      <c r="M396" s="16"/>
      <c r="N396" s="16"/>
      <c r="O396" s="16"/>
      <c r="P396" s="16"/>
    </row>
    <row r="397" spans="12:16" x14ac:dyDescent="0.2">
      <c r="L397" s="16"/>
      <c r="M397" s="16"/>
      <c r="N397" s="16"/>
      <c r="O397" s="16"/>
      <c r="P397" s="16"/>
    </row>
    <row r="398" spans="12:16" x14ac:dyDescent="0.2">
      <c r="L398" s="16"/>
      <c r="M398" s="16"/>
      <c r="N398" s="16"/>
      <c r="O398" s="16"/>
      <c r="P398" s="16"/>
    </row>
    <row r="399" spans="12:16" x14ac:dyDescent="0.2">
      <c r="L399" s="16"/>
      <c r="M399" s="16"/>
      <c r="N399" s="16"/>
      <c r="O399" s="16"/>
      <c r="P399" s="16"/>
    </row>
    <row r="400" spans="12:16" x14ac:dyDescent="0.2">
      <c r="L400" s="16"/>
      <c r="M400" s="16"/>
      <c r="N400" s="16"/>
      <c r="O400" s="16"/>
      <c r="P400" s="16"/>
    </row>
    <row r="401" spans="12:16" x14ac:dyDescent="0.2">
      <c r="L401" s="16"/>
      <c r="M401" s="16"/>
      <c r="N401" s="16"/>
      <c r="O401" s="16"/>
      <c r="P401" s="16"/>
    </row>
    <row r="402" spans="12:16" x14ac:dyDescent="0.2">
      <c r="L402" s="16"/>
      <c r="M402" s="16"/>
      <c r="N402" s="16"/>
      <c r="O402" s="16"/>
      <c r="P402" s="16"/>
    </row>
    <row r="403" spans="12:16" x14ac:dyDescent="0.2">
      <c r="L403" s="16"/>
      <c r="M403" s="16"/>
      <c r="N403" s="16"/>
      <c r="O403" s="16"/>
      <c r="P403" s="16"/>
    </row>
    <row r="404" spans="12:16" x14ac:dyDescent="0.2">
      <c r="L404" s="16"/>
      <c r="M404" s="16"/>
      <c r="N404" s="16"/>
      <c r="O404" s="16"/>
      <c r="P404" s="16"/>
    </row>
    <row r="405" spans="12:16" x14ac:dyDescent="0.2">
      <c r="L405" s="16"/>
      <c r="M405" s="16"/>
      <c r="N405" s="16"/>
      <c r="O405" s="16"/>
      <c r="P405" s="16"/>
    </row>
    <row r="406" spans="12:16" x14ac:dyDescent="0.2">
      <c r="L406" s="16"/>
      <c r="M406" s="16"/>
      <c r="N406" s="16"/>
      <c r="O406" s="16"/>
      <c r="P406" s="16"/>
    </row>
    <row r="407" spans="12:16" x14ac:dyDescent="0.2">
      <c r="L407" s="16"/>
      <c r="M407" s="16"/>
      <c r="N407" s="16"/>
      <c r="O407" s="16"/>
      <c r="P407" s="16"/>
    </row>
    <row r="408" spans="12:16" x14ac:dyDescent="0.2">
      <c r="L408" s="16"/>
      <c r="M408" s="16"/>
      <c r="N408" s="16"/>
      <c r="O408" s="16"/>
      <c r="P408" s="16"/>
    </row>
    <row r="409" spans="12:16" x14ac:dyDescent="0.2">
      <c r="L409" s="16"/>
      <c r="M409" s="16"/>
      <c r="N409" s="16"/>
      <c r="O409" s="16"/>
      <c r="P409" s="16"/>
    </row>
    <row r="410" spans="12:16" x14ac:dyDescent="0.2">
      <c r="L410" s="16"/>
      <c r="M410" s="16"/>
      <c r="N410" s="16"/>
      <c r="O410" s="16"/>
      <c r="P410" s="16"/>
    </row>
    <row r="411" spans="12:16" x14ac:dyDescent="0.2">
      <c r="L411" s="16"/>
      <c r="M411" s="16"/>
      <c r="N411" s="16"/>
      <c r="O411" s="16"/>
      <c r="P411" s="16"/>
    </row>
    <row r="412" spans="12:16" x14ac:dyDescent="0.2">
      <c r="L412" s="16"/>
      <c r="M412" s="16"/>
      <c r="N412" s="16"/>
      <c r="O412" s="16"/>
      <c r="P412" s="16"/>
    </row>
    <row r="413" spans="12:16" x14ac:dyDescent="0.2">
      <c r="L413" s="16"/>
      <c r="M413" s="16"/>
      <c r="N413" s="16"/>
      <c r="O413" s="16"/>
      <c r="P413" s="16"/>
    </row>
    <row r="414" spans="12:16" x14ac:dyDescent="0.2">
      <c r="L414" s="16"/>
      <c r="M414" s="16"/>
      <c r="N414" s="16"/>
      <c r="O414" s="16"/>
      <c r="P414" s="16"/>
    </row>
    <row r="415" spans="12:16" x14ac:dyDescent="0.2">
      <c r="L415" s="16"/>
      <c r="M415" s="16"/>
      <c r="N415" s="16"/>
      <c r="O415" s="16"/>
      <c r="P415" s="16"/>
    </row>
    <row r="416" spans="12:16" x14ac:dyDescent="0.2">
      <c r="L416" s="16"/>
      <c r="M416" s="16"/>
      <c r="N416" s="16"/>
      <c r="O416" s="16"/>
      <c r="P416" s="16"/>
    </row>
    <row r="417" spans="12:16" x14ac:dyDescent="0.2">
      <c r="L417" s="16"/>
      <c r="M417" s="16"/>
      <c r="N417" s="16"/>
      <c r="O417" s="16"/>
      <c r="P417" s="16"/>
    </row>
    <row r="418" spans="12:16" x14ac:dyDescent="0.2">
      <c r="L418" s="16"/>
      <c r="M418" s="16"/>
      <c r="N418" s="16"/>
      <c r="O418" s="16"/>
      <c r="P418" s="16"/>
    </row>
    <row r="419" spans="12:16" x14ac:dyDescent="0.2">
      <c r="L419" s="16"/>
      <c r="M419" s="16"/>
      <c r="N419" s="16"/>
      <c r="O419" s="16"/>
      <c r="P419" s="16"/>
    </row>
    <row r="420" spans="12:16" x14ac:dyDescent="0.2">
      <c r="L420" s="16"/>
      <c r="M420" s="16"/>
      <c r="N420" s="16"/>
      <c r="O420" s="16"/>
      <c r="P420" s="16"/>
    </row>
    <row r="421" spans="12:16" x14ac:dyDescent="0.2">
      <c r="L421" s="16"/>
      <c r="M421" s="16"/>
      <c r="N421" s="16"/>
      <c r="O421" s="16"/>
      <c r="P421" s="16"/>
    </row>
    <row r="422" spans="12:16" x14ac:dyDescent="0.2">
      <c r="L422" s="16"/>
      <c r="M422" s="16"/>
      <c r="N422" s="16"/>
      <c r="O422" s="16"/>
      <c r="P422" s="16"/>
    </row>
    <row r="423" spans="12:16" x14ac:dyDescent="0.2">
      <c r="L423" s="16"/>
      <c r="M423" s="16"/>
      <c r="N423" s="16"/>
      <c r="O423" s="16"/>
      <c r="P423" s="16"/>
    </row>
    <row r="424" spans="12:16" x14ac:dyDescent="0.2">
      <c r="L424" s="16"/>
      <c r="M424" s="16"/>
      <c r="N424" s="16"/>
      <c r="O424" s="16"/>
      <c r="P424" s="16"/>
    </row>
    <row r="425" spans="12:16" x14ac:dyDescent="0.2">
      <c r="L425" s="16"/>
      <c r="M425" s="16"/>
      <c r="N425" s="16"/>
      <c r="O425" s="16"/>
      <c r="P425" s="16"/>
    </row>
    <row r="426" spans="12:16" x14ac:dyDescent="0.2">
      <c r="L426" s="16"/>
      <c r="M426" s="16"/>
      <c r="N426" s="16"/>
      <c r="O426" s="16"/>
      <c r="P426" s="16"/>
    </row>
    <row r="427" spans="12:16" x14ac:dyDescent="0.2">
      <c r="L427" s="16"/>
      <c r="M427" s="16"/>
      <c r="N427" s="16"/>
      <c r="O427" s="16"/>
      <c r="P427" s="16"/>
    </row>
    <row r="428" spans="12:16" x14ac:dyDescent="0.2">
      <c r="L428" s="16"/>
      <c r="M428" s="16"/>
      <c r="N428" s="16"/>
      <c r="O428" s="16"/>
      <c r="P428" s="16"/>
    </row>
    <row r="429" spans="12:16" x14ac:dyDescent="0.2">
      <c r="L429" s="16"/>
      <c r="M429" s="16"/>
      <c r="N429" s="16"/>
      <c r="O429" s="16"/>
      <c r="P429" s="16"/>
    </row>
    <row r="430" spans="12:16" x14ac:dyDescent="0.2">
      <c r="L430" s="16"/>
      <c r="M430" s="16"/>
      <c r="N430" s="16"/>
      <c r="O430" s="16"/>
      <c r="P430" s="16"/>
    </row>
    <row r="431" spans="12:16" x14ac:dyDescent="0.2">
      <c r="L431" s="16"/>
      <c r="M431" s="16"/>
      <c r="N431" s="16"/>
      <c r="O431" s="16"/>
      <c r="P431" s="16"/>
    </row>
    <row r="432" spans="12:16" x14ac:dyDescent="0.2">
      <c r="L432" s="16"/>
      <c r="M432" s="16"/>
      <c r="N432" s="16"/>
      <c r="O432" s="16"/>
      <c r="P432" s="16"/>
    </row>
    <row r="433" spans="12:16" x14ac:dyDescent="0.2">
      <c r="L433" s="16"/>
      <c r="M433" s="16"/>
      <c r="N433" s="16"/>
      <c r="O433" s="16"/>
      <c r="P433" s="16"/>
    </row>
    <row r="434" spans="12:16" x14ac:dyDescent="0.2">
      <c r="L434" s="16"/>
      <c r="M434" s="16"/>
      <c r="N434" s="16"/>
      <c r="O434" s="16"/>
      <c r="P434" s="16"/>
    </row>
    <row r="435" spans="12:16" x14ac:dyDescent="0.2">
      <c r="L435" s="16"/>
      <c r="M435" s="16"/>
      <c r="N435" s="16"/>
      <c r="O435" s="16"/>
      <c r="P435" s="16"/>
    </row>
    <row r="436" spans="12:16" x14ac:dyDescent="0.2">
      <c r="L436" s="16"/>
      <c r="M436" s="16"/>
      <c r="N436" s="16"/>
      <c r="O436" s="16"/>
      <c r="P436" s="16"/>
    </row>
    <row r="437" spans="12:16" x14ac:dyDescent="0.2">
      <c r="L437" s="16"/>
      <c r="M437" s="16"/>
      <c r="N437" s="16"/>
      <c r="O437" s="16"/>
      <c r="P437" s="16"/>
    </row>
    <row r="438" spans="12:16" x14ac:dyDescent="0.2">
      <c r="L438" s="16"/>
      <c r="M438" s="16"/>
      <c r="N438" s="16"/>
      <c r="O438" s="16"/>
      <c r="P438" s="16"/>
    </row>
    <row r="439" spans="12:16" x14ac:dyDescent="0.2">
      <c r="L439" s="16"/>
      <c r="M439" s="16"/>
      <c r="N439" s="16"/>
      <c r="O439" s="16"/>
      <c r="P439" s="16"/>
    </row>
    <row r="440" spans="12:16" x14ac:dyDescent="0.2">
      <c r="L440" s="16"/>
      <c r="M440" s="16"/>
      <c r="N440" s="16"/>
      <c r="O440" s="16"/>
      <c r="P440" s="16"/>
    </row>
    <row r="441" spans="12:16" x14ac:dyDescent="0.2">
      <c r="L441" s="16"/>
      <c r="M441" s="16"/>
      <c r="N441" s="16"/>
      <c r="O441" s="16"/>
      <c r="P441" s="16"/>
    </row>
    <row r="442" spans="12:16" x14ac:dyDescent="0.2">
      <c r="L442" s="16"/>
      <c r="M442" s="16"/>
      <c r="N442" s="16"/>
      <c r="O442" s="16"/>
      <c r="P442" s="16"/>
    </row>
    <row r="443" spans="12:16" x14ac:dyDescent="0.2">
      <c r="L443" s="16"/>
      <c r="M443" s="16"/>
      <c r="N443" s="16"/>
      <c r="O443" s="16"/>
      <c r="P443" s="16"/>
    </row>
    <row r="444" spans="12:16" x14ac:dyDescent="0.2">
      <c r="L444" s="16"/>
      <c r="M444" s="16"/>
      <c r="N444" s="16"/>
      <c r="O444" s="16"/>
      <c r="P444" s="16"/>
    </row>
    <row r="445" spans="12:16" x14ac:dyDescent="0.2">
      <c r="L445" s="16"/>
      <c r="M445" s="16"/>
      <c r="N445" s="16"/>
      <c r="O445" s="16"/>
      <c r="P445" s="16"/>
    </row>
    <row r="446" spans="12:16" x14ac:dyDescent="0.2">
      <c r="L446" s="16"/>
      <c r="M446" s="16"/>
      <c r="N446" s="16"/>
      <c r="O446" s="16"/>
      <c r="P446" s="16"/>
    </row>
    <row r="447" spans="12:16" x14ac:dyDescent="0.2">
      <c r="L447" s="16"/>
      <c r="M447" s="16"/>
      <c r="N447" s="16"/>
      <c r="O447" s="16"/>
      <c r="P447" s="16"/>
    </row>
    <row r="448" spans="12:16" x14ac:dyDescent="0.2">
      <c r="L448" s="16"/>
      <c r="M448" s="16"/>
      <c r="N448" s="16"/>
      <c r="O448" s="16"/>
      <c r="P448" s="16"/>
    </row>
    <row r="449" spans="12:16" x14ac:dyDescent="0.2">
      <c r="L449" s="16"/>
      <c r="M449" s="16"/>
      <c r="N449" s="16"/>
      <c r="O449" s="16"/>
      <c r="P449" s="16"/>
    </row>
    <row r="450" spans="12:16" x14ac:dyDescent="0.2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Tahapan</vt:lpstr>
      <vt:lpstr>Bahan Pakan</vt:lpstr>
      <vt:lpstr>Kebutuhan Nutrient</vt:lpstr>
      <vt:lpstr>RANSUM</vt:lpstr>
      <vt:lpstr>Penggemukan</vt:lpstr>
      <vt:lpstr>Sapi Induk</vt:lpstr>
      <vt:lpstr>Sapi Pertumbuhan</vt:lpstr>
      <vt:lpstr>Trial and Error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Ir. Idat G. Permana, MSc.</dc:creator>
  <cp:lastModifiedBy>Idat Galih Permana</cp:lastModifiedBy>
  <cp:lastPrinted>2013-12-14T09:46:34Z</cp:lastPrinted>
  <dcterms:created xsi:type="dcterms:W3CDTF">2006-03-08T09:51:51Z</dcterms:created>
  <dcterms:modified xsi:type="dcterms:W3CDTF">2015-03-27T16:33:34Z</dcterms:modified>
</cp:coreProperties>
</file>